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nat\Downloads\"/>
    </mc:Choice>
  </mc:AlternateContent>
  <xr:revisionPtr revIDLastSave="0" documentId="13_ncr:1_{38E45FF1-C36F-468A-BD53-A49CB2CD2366}" xr6:coauthVersionLast="47" xr6:coauthVersionMax="47" xr10:uidLastSave="{00000000-0000-0000-0000-000000000000}"/>
  <bookViews>
    <workbookView xWindow="-120" yWindow="-120" windowWidth="20730" windowHeight="11040" activeTab="1" xr2:uid="{0432B9D4-5DE9-4EAC-A4DC-8A0A15CA3C4C}"/>
  </bookViews>
  <sheets>
    <sheet name="Planilha2" sheetId="4" r:id="rId1"/>
    <sheet name="Planilha1" sheetId="3" r:id="rId2"/>
    <sheet name="Base" sheetId="2" r:id="rId3"/>
  </sheets>
  <externalReferences>
    <externalReference r:id="rId4"/>
  </externalReferences>
  <definedNames>
    <definedName name="_xlnm._FilterDatabase" localSheetId="2" hidden="1">Base!$A$1:$M$95</definedName>
    <definedName name="query__2" localSheetId="1" hidden="1">Planilha1!$A$1:$V$278</definedName>
    <definedName name="query__2_1" localSheetId="0" hidden="1">Planilha2!$A$1:$V$278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95" i="2" l="1"/>
  <c r="G94" i="2"/>
  <c r="G93" i="2"/>
  <c r="G92" i="2"/>
  <c r="G91" i="2"/>
  <c r="G90" i="2"/>
  <c r="M89" i="2"/>
  <c r="G89" i="2"/>
  <c r="G88" i="2"/>
  <c r="G87" i="2"/>
  <c r="G86" i="2"/>
  <c r="G85" i="2"/>
  <c r="G84" i="2"/>
  <c r="G83" i="2"/>
  <c r="G82" i="2"/>
  <c r="G81" i="2"/>
  <c r="G80" i="2"/>
  <c r="G79" i="2"/>
  <c r="G78" i="2"/>
  <c r="G77" i="2"/>
  <c r="G76" i="2"/>
  <c r="G75" i="2"/>
  <c r="G74" i="2"/>
  <c r="G73" i="2"/>
  <c r="G72" i="2"/>
  <c r="G71" i="2"/>
  <c r="G70" i="2"/>
  <c r="G69" i="2"/>
  <c r="M68"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M22" i="2"/>
  <c r="G22" i="2"/>
  <c r="M21" i="2"/>
  <c r="G21" i="2"/>
  <c r="G20" i="2"/>
  <c r="G19" i="2"/>
  <c r="G18" i="2"/>
  <c r="M17" i="2"/>
  <c r="G17" i="2"/>
  <c r="G16" i="2"/>
  <c r="G15" i="2"/>
  <c r="G14" i="2"/>
  <c r="G13" i="2"/>
  <c r="M12" i="2"/>
  <c r="G12" i="2"/>
  <c r="G11" i="2"/>
  <c r="G10" i="2"/>
  <c r="G9" i="2"/>
  <c r="G8" i="2"/>
  <c r="G7" i="2"/>
  <c r="G6" i="2"/>
  <c r="G5" i="2"/>
  <c r="G4" i="2"/>
  <c r="G3" i="2"/>
  <c r="G2" i="2"/>
  <c r="M95" i="2" l="1"/>
  <c r="H95" i="2" s="1"/>
  <c r="M92" i="2"/>
  <c r="H92" i="2" s="1"/>
  <c r="M91" i="2"/>
  <c r="H91" i="2" s="1"/>
  <c r="H89" i="2"/>
  <c r="M88" i="2"/>
  <c r="H88" i="2" s="1"/>
  <c r="M87" i="2"/>
  <c r="H87" i="2" s="1"/>
  <c r="M86" i="2"/>
  <c r="H86" i="2" s="1"/>
  <c r="M85" i="2"/>
  <c r="H85" i="2" s="1"/>
  <c r="M84" i="2"/>
  <c r="H84" i="2" s="1"/>
  <c r="M81" i="2"/>
  <c r="H81" i="2" s="1"/>
  <c r="M79" i="2"/>
  <c r="H79" i="2" s="1"/>
  <c r="M76" i="2"/>
  <c r="H76" i="2" s="1"/>
  <c r="M75" i="2"/>
  <c r="H75" i="2" s="1"/>
  <c r="M72" i="2"/>
  <c r="H72" i="2" s="1"/>
  <c r="M70" i="2"/>
  <c r="H70" i="2" s="1"/>
  <c r="M69" i="2"/>
  <c r="H69" i="2" s="1"/>
  <c r="M14" i="2"/>
  <c r="H14" i="2" s="1"/>
  <c r="M67" i="2"/>
  <c r="H67" i="2" s="1"/>
  <c r="M66" i="2"/>
  <c r="H66" i="2" s="1"/>
  <c r="M65" i="2"/>
  <c r="H65" i="2" s="1"/>
  <c r="M64" i="2"/>
  <c r="H64" i="2" s="1"/>
  <c r="M63" i="2"/>
  <c r="H63" i="2" s="1"/>
  <c r="M62" i="2"/>
  <c r="H62" i="2" s="1"/>
  <c r="M61" i="2"/>
  <c r="H61" i="2" s="1"/>
  <c r="M60" i="2"/>
  <c r="H60" i="2" s="1"/>
  <c r="M59" i="2"/>
  <c r="H59" i="2" s="1"/>
  <c r="M58" i="2"/>
  <c r="H58" i="2" s="1"/>
  <c r="M57" i="2"/>
  <c r="H57" i="2" s="1"/>
  <c r="M56" i="2"/>
  <c r="H56" i="2" s="1"/>
  <c r="M55" i="2"/>
  <c r="H55" i="2" s="1"/>
  <c r="M54" i="2"/>
  <c r="H54" i="2" s="1"/>
  <c r="M53" i="2"/>
  <c r="H53" i="2" s="1"/>
  <c r="M52" i="2"/>
  <c r="H52" i="2" s="1"/>
  <c r="M51" i="2"/>
  <c r="H51" i="2" s="1"/>
  <c r="M50" i="2"/>
  <c r="H50" i="2" s="1"/>
  <c r="M49" i="2"/>
  <c r="H49" i="2" s="1"/>
  <c r="M48" i="2"/>
  <c r="H48" i="2" s="1"/>
  <c r="M47" i="2"/>
  <c r="H47" i="2" s="1"/>
  <c r="M46" i="2"/>
  <c r="H46" i="2" s="1"/>
  <c r="M45" i="2"/>
  <c r="H45" i="2" s="1"/>
  <c r="M44" i="2"/>
  <c r="H44" i="2" s="1"/>
  <c r="M43" i="2"/>
  <c r="H43" i="2" s="1"/>
  <c r="M42" i="2"/>
  <c r="H42" i="2" s="1"/>
  <c r="M41" i="2"/>
  <c r="H41" i="2" s="1"/>
  <c r="M40" i="2"/>
  <c r="H40" i="2" s="1"/>
  <c r="M39" i="2"/>
  <c r="H39" i="2" s="1"/>
  <c r="M38" i="2"/>
  <c r="H38" i="2" s="1"/>
  <c r="M37" i="2"/>
  <c r="H37" i="2" s="1"/>
  <c r="M36" i="2"/>
  <c r="H36" i="2" s="1"/>
  <c r="M31" i="2"/>
  <c r="H31" i="2" s="1"/>
  <c r="M30" i="2"/>
  <c r="H30" i="2" s="1"/>
  <c r="M20" i="2"/>
  <c r="H20" i="2" s="1"/>
  <c r="M19" i="2"/>
  <c r="H19" i="2" s="1"/>
  <c r="M18" i="2"/>
  <c r="H18" i="2" s="1"/>
  <c r="H17" i="2"/>
  <c r="M16" i="2"/>
  <c r="H16" i="2" s="1"/>
  <c r="M8" i="2"/>
  <c r="H8" i="2" s="1"/>
  <c r="M9" i="2"/>
  <c r="H9" i="2" s="1"/>
  <c r="M6" i="2"/>
  <c r="H6" i="2" s="1"/>
  <c r="H12" i="2"/>
  <c r="M11" i="2"/>
  <c r="H11" i="2" s="1"/>
  <c r="M10" i="2"/>
  <c r="H10" i="2" s="1"/>
  <c r="M94" i="2"/>
  <c r="H94" i="2" s="1"/>
  <c r="M93" i="2"/>
  <c r="H93" i="2" s="1"/>
  <c r="M90" i="2"/>
  <c r="H90" i="2" s="1"/>
  <c r="M27" i="2"/>
  <c r="H27" i="2" s="1"/>
  <c r="M24" i="2"/>
  <c r="H24" i="2" s="1"/>
  <c r="H22" i="2"/>
  <c r="H21" i="2"/>
  <c r="M7" i="2"/>
  <c r="H7" i="2" s="1"/>
  <c r="M2" i="2"/>
  <c r="H2" i="2" s="1"/>
  <c r="M78" i="2"/>
  <c r="H78" i="2" s="1"/>
  <c r="M73" i="2"/>
  <c r="H73" i="2" s="1"/>
  <c r="M25" i="2"/>
  <c r="H25" i="2" s="1"/>
  <c r="M23" i="2"/>
  <c r="H23" i="2" s="1"/>
  <c r="M83" i="2"/>
  <c r="H83" i="2" s="1"/>
  <c r="M82" i="2"/>
  <c r="H82" i="2" s="1"/>
  <c r="M80" i="2"/>
  <c r="H80" i="2" s="1"/>
  <c r="M77" i="2"/>
  <c r="H77" i="2" s="1"/>
  <c r="M74" i="2"/>
  <c r="H74" i="2" s="1"/>
  <c r="M71" i="2"/>
  <c r="H71" i="2" s="1"/>
  <c r="H68" i="2"/>
  <c r="M35" i="2"/>
  <c r="H35" i="2" s="1"/>
  <c r="M34" i="2"/>
  <c r="H34" i="2" s="1"/>
  <c r="M33" i="2"/>
  <c r="H33" i="2" s="1"/>
  <c r="M32" i="2"/>
  <c r="H32" i="2" s="1"/>
  <c r="M29" i="2"/>
  <c r="H29" i="2" s="1"/>
  <c r="M28" i="2"/>
  <c r="H28" i="2" s="1"/>
  <c r="M26" i="2"/>
  <c r="H26" i="2" s="1"/>
  <c r="M15" i="2"/>
  <c r="H15" i="2" s="1"/>
  <c r="M13" i="2"/>
  <c r="H13" i="2" s="1"/>
  <c r="M5" i="2"/>
  <c r="H5" i="2" s="1"/>
  <c r="M4" i="2"/>
  <c r="H4" i="2" s="1"/>
  <c r="M3" i="2"/>
  <c r="H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5072A9-E362-4C61-84BC-2FEAE70E7979}" odcFile="C:\Users\c118119\Downloads\query (2).iqy" keepAlive="1" name="query (2)" type="5" refreshedVersion="8" minRefreshableVersion="3" saveData="1">
    <dbPr connection="Provider=Microsoft.Office.List.OLEDB.2.0;Data Source=&quot;&quot;;ApplicationName=Excel;Version=12.0.0.0" command="&lt;LIST&gt;&lt;VIEWGUID&gt;A04765C6-2707-41F7-8B41-7DA089C753B9&lt;/VIEWGUID&gt;&lt;LISTNAME&gt;60f5422f-88f4-466e-8edc-1c4033211825&lt;/LISTNAME&gt;&lt;LISTWEB&gt;https://caixa.sharepoint.com/sites/Arquivos5319/_vti_bin&lt;/LISTWEB&gt;&lt;LISTSUBWEB&gt;&lt;/LISTSUBWEB&gt;&lt;ROOTFOLDER&gt;&lt;/ROOTFOLDER&gt;&lt;/LIST&gt;" commandType="5"/>
  </connection>
  <connection id="2" xr16:uid="{B0B7E975-0CB8-41F9-B689-22162D2D7E71}" odcFile="C:\Users\c118119\Downloads\query (2).iqy" keepAlive="1" name="query (2)1" type="5" refreshedVersion="8" minRefreshableVersion="3" saveData="1">
    <dbPr connection="Provider=Microsoft.Office.List.OLEDB.2.0;Data Source=&quot;&quot;;ApplicationName=Excel;Version=12.0.0.0" command="&lt;LIST&gt;&lt;VIEWGUID&gt;A04765C6-2707-41F7-8B41-7DA089C753B9&lt;/VIEWGUID&gt;&lt;LISTNAME&gt;60f5422f-88f4-466e-8edc-1c4033211825&lt;/LISTNAME&gt;&lt;LISTWEB&gt;https://caixa.sharepoint.com/sites/Arquivos5319/_vti_bin&lt;/LISTWEB&gt;&lt;LISTSUBWEB&gt;&lt;/LISTSUBWEB&gt;&lt;ROOTFOLDER&gt;&lt;/ROOTFOLDER&gt;&lt;/LIST&gt;" commandType="5"/>
  </connection>
</connections>
</file>

<file path=xl/sharedStrings.xml><?xml version="1.0" encoding="utf-8"?>
<sst xmlns="http://schemas.openxmlformats.org/spreadsheetml/2006/main" count="7547" uniqueCount="279">
  <si>
    <t>Indicador</t>
  </si>
  <si>
    <t>Dimensao</t>
  </si>
  <si>
    <t>Unidade</t>
  </si>
  <si>
    <t>Peso</t>
  </si>
  <si>
    <t>Meta</t>
  </si>
  <si>
    <t>Realizado</t>
  </si>
  <si>
    <t>Atingido</t>
  </si>
  <si>
    <t>Conta c Peso</t>
  </si>
  <si>
    <t>Respons. Apuracao</t>
  </si>
  <si>
    <t>Referencia</t>
  </si>
  <si>
    <t>Atingido Proporcional</t>
  </si>
  <si>
    <t>Unidade de Medida</t>
  </si>
  <si>
    <t>Tabela de Gradação</t>
  </si>
  <si>
    <t>Lucro Líquido do Exercício</t>
  </si>
  <si>
    <t>Econômico - Financeira</t>
  </si>
  <si>
    <t>DILOT</t>
  </si>
  <si>
    <t>Anual Consolidado</t>
  </si>
  <si>
    <t>Reais</t>
  </si>
  <si>
    <t>DICOT</t>
  </si>
  <si>
    <t>DIFIR</t>
  </si>
  <si>
    <t>Índice de Eficiência Operacional (IEO)</t>
  </si>
  <si>
    <t>Percentual</t>
  </si>
  <si>
    <t>DICRI</t>
  </si>
  <si>
    <t>GGR (Gross Gaming Revenue)</t>
  </si>
  <si>
    <t>NPS - Net Promoter Score</t>
  </si>
  <si>
    <t>-</t>
  </si>
  <si>
    <t>Pontos</t>
  </si>
  <si>
    <t>Absenteismo total</t>
  </si>
  <si>
    <t>Aumentar as Vendas no Marketplace</t>
  </si>
  <si>
    <t>ROE (Return on Equity)</t>
  </si>
  <si>
    <t>Projeto - Matriz de Risco</t>
  </si>
  <si>
    <t>Projeto - RAS</t>
  </si>
  <si>
    <t>Jogo Responsável</t>
  </si>
  <si>
    <t>Avaliação de Alinhamento à Controladora</t>
  </si>
  <si>
    <t>Alinhamento Estratégico e Conformidade com a Controladora</t>
  </si>
  <si>
    <t>A ser definida pela CAIXA</t>
  </si>
  <si>
    <t>Risco e Regulatório</t>
  </si>
  <si>
    <t>Conformidade (IC-CAIXA)</t>
  </si>
  <si>
    <t>Avaliação pelo Conselho de Administração do desempenho individual do Diretor Presidente e dos Diretores Executivos</t>
  </si>
  <si>
    <t>Governança Corporativa</t>
  </si>
  <si>
    <t>Nota do Sistema de avaliação de desempenho das unidades CAIXA Loterias</t>
  </si>
  <si>
    <t>Indicador de governança (IG-Sest)</t>
  </si>
  <si>
    <t>A ser definida pela SEST</t>
  </si>
  <si>
    <t>Proporcional - 05/2026</t>
  </si>
  <si>
    <t>Title</t>
  </si>
  <si>
    <t>Plano</t>
  </si>
  <si>
    <t>Pilar Estratégico</t>
  </si>
  <si>
    <t>Formula</t>
  </si>
  <si>
    <t>Unidade Apuradora</t>
  </si>
  <si>
    <t>Meta 2026</t>
  </si>
  <si>
    <t>Meta Mensal</t>
  </si>
  <si>
    <t>Mes_Referencia</t>
  </si>
  <si>
    <t>Observacoes_/_Evidencias</t>
  </si>
  <si>
    <t>Homologado Diretoria</t>
  </si>
  <si>
    <t>PrazoLimite</t>
  </si>
  <si>
    <t>Diretoria Responsavel</t>
  </si>
  <si>
    <t>AtingidoAjustado</t>
  </si>
  <si>
    <t>Detalhes da Meta Mensal</t>
  </si>
  <si>
    <t>ID</t>
  </si>
  <si>
    <t>Modificado</t>
  </si>
  <si>
    <t>Modificado por</t>
  </si>
  <si>
    <t>Caminho</t>
  </si>
  <si>
    <t>Tipo de Item</t>
  </si>
  <si>
    <t>Índice de Ofertas Personalizadas aos Clientes Ativos</t>
  </si>
  <si>
    <t>PEI</t>
  </si>
  <si>
    <t>Cliente no Centro</t>
  </si>
  <si>
    <t>(Número de clientes com interações personalizadas em canais eletrônicos) / (Total de clientes ativos identificáveis em canais eletrônicos) x 100</t>
  </si>
  <si>
    <t>SUCOL</t>
  </si>
  <si>
    <t>≥ 10% da base de clientes ativos recebe ofertas personalizadas</t>
  </si>
  <si>
    <t xml:space="preserve">O resultado evidencia a efetividade das ações de segmentação e personalização, bem como a evolução da capacidade analítica e operacional para ativação qualificada da base de clientes. Foram realizadas 94 campanhas via push, com foco na divulgação de concursos acumulados, modalidades de jogos, funcionalidades do App Loterias, jogos individuais e bolões, aniversários de clientes, feriados locais e promoção de jogo responsável. Meta a ser alcançada de 10% da base (248.005 pessoas), atingido 25,67% (636.553 pessoas).
</t>
  </si>
  <si>
    <t>Sim</t>
  </si>
  <si>
    <t>Conforme SUCOL</t>
  </si>
  <si>
    <t>Kim Escramozino Assis</t>
  </si>
  <si>
    <t>sites/Arquivos5319/Lists/PEIPN_2026</t>
  </si>
  <si>
    <t>Item</t>
  </si>
  <si>
    <t xml:space="preserve">O resultado evidencia a efetividade das ações de segmentação e personalização, bem como a evolução da capacidade analítica e operacional para ativação qualificada da base de clientes. Foram realizadas 105 campanhas via push, com foco na divulgação de concursos acumulados, modalidades de jogos, funcionalidades do App Loterias, jogos individuais e bolões, aniversários de clientes, feriados locais e promoção de jogo responsável. Meta a ser alcançada de 10% da base (257.495 pessoas), atingido 20,94% (539.249 pessoas).
</t>
  </si>
  <si>
    <t>Josue Vincler dos Santos</t>
  </si>
  <si>
    <t xml:space="preserve">O resultado evidencia a efetividade das ações de segmentação e personalização, bem como a evolução da capacidade analítica e operacional para ativação qualificada da base de clientes. Foram realizadas 91 campanhas via push, com foco na divulgação de concursos acumulados, modalidades de jogos, funcionalidades do App Loterias, jogos individuais e bolões, aniversários de clientes, feriados locais e promoção de jogo responsável. Meta a ser alcançada de 10% da base (267.303 pessoas), atingido 23,02% (615.460 pessoas).
</t>
  </si>
  <si>
    <t>O resultado permanece positivo, demonstrando a evolução de ações no que se referem a qualificação da base de clientes. 
Ao longo do trimestre, foram realizadas novas campanhas via push, com divulgação dos produtos de loterias,  promoção de jogo responsável e com foco em concurso especiais, como Quina de São João e Loteca Especial.</t>
  </si>
  <si>
    <t>Não</t>
  </si>
  <si>
    <t>O resultado permanece positivo, demonstrando a evolução de ações no que se referem a qualificação da base de clientes. 
Ao longo do trimestre, foram realizadas novas campanhas via push, com divulgação dos produtos de loterias,  promoção de jogo responsável e com foco em concurso especiais, como Quina de São João e Loteca Especial. 
Ao final do período do 2TRI/2026, a meta a ser alcançada de 10% da base, atingiu 78,58% (2.371.981 pessoas), representando 785,75% de alcance da meta.</t>
  </si>
  <si>
    <t>Índice de Satisfação de Clientes - NPS</t>
  </si>
  <si>
    <t>% promotores - % detratores</t>
  </si>
  <si>
    <t>reduzir 20% do gap em relação à nota de 70. (Nota = 60)</t>
  </si>
  <si>
    <t xml:space="preserve">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t>
  </si>
  <si>
    <t>Numero</t>
  </si>
  <si>
    <t xml:space="preserve">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Sobre a meta, considerando a baseline de 55 pontos e a diretriz de redução de 20% do gap em relação à nota de referência 70, a meta correta para 2026 corresponde a NPS igual a 58. Propõe-se, assim, o ajuste formal do valor, de modo a preservar a coerência metodológica e a consistência da série histórica do indicador.
</t>
  </si>
  <si>
    <t>Nayara Alarcao Ornelas Duraes</t>
  </si>
  <si>
    <t>No período avaliado, foi adotado como referência de acompanhamento o índice 55, correspondente ao próprio baseline da pesquisa NPS, razão pela qual não há, neste momento, variação mensurável do indicador. Ressalta-se que as ações estruturadas a partir do diagnóstico do NPS encontram-se em fase de implementação e que eventuais reflexos sobre a percepção dos clientes somente poderão ser capturados a partir da aplicação prática das melhorias e da realização de uma nova rodada de pesquisa NPS. Dessa forma, o acompanhamento do atingimento da meta passa a depender da mensuração futura, mantendo-se o baseline como marco inicial para avaliação de evolução.
Sobre a meta, considerando a baseline de 55 pontos e a diretriz de redução de 20% do gap em relação à nota de referência 70, a meta correta para 2026 corresponde a NPS igual a 58. Propõe-se, assim, o ajuste formal do valor, de modo a preservar a coerência metodológica e a consistência da série histórica do indicador.</t>
  </si>
  <si>
    <t>A CAIXA Loterias elevou o NPS de 55,0 para 59,2 pontos (+7,64%), superando as metas previstas e ampliando a implementação das melhorias demandadas pelos clientes, consolidando a evolução da experiência e a voz do cliente.</t>
  </si>
  <si>
    <t>Gross Gaming Revenue (GGR)</t>
  </si>
  <si>
    <t>Eficiência e Rentabilidade</t>
  </si>
  <si>
    <t>Arrecadação total - prêmios a pagar</t>
  </si>
  <si>
    <t>≥ R$ 15,6 bilhões</t>
  </si>
  <si>
    <t xml:space="preserve">O desempenho vem mantendo o patamar mensal de arrecadação próximo ao orçado, em que ações comerciais e de engajamento de clientes vem sendo desenvolvidas para incremento dos resultados nos próximos períodos. Destacam-se iniciativas estruturadas na rede lotérica e nas plataformas digitais, incluindo a ativação de concursos comemorativos e de oportunidade - como a Mega 30, alusiva aos 30 anos da Mega-Sena, e a Loteca da Copa, vinculada à Copa do Mundo - tratadas como alavancas estratégicas de negócio, potencializadas por campanhas de marketing integradas com pré-lançamento, teasers, mídia digital e paga, produção de fotos e vídeos, transmissões dos sorteios em TV e ações de engajamento direto via push e comunicações digitais, ampliando alcance, frequência e participação dos apostadores.
</t>
  </si>
  <si>
    <t>Financeiro</t>
  </si>
  <si>
    <t xml:space="preserve">O desempenho vem mantendo o patamar mensal de arrecadação próximo ao orçado, em que ações comerciais e de engajamento de clientes vem sendo desenvolvidas para incremento dos resultados nos próximos períodos. Destacam-se iniciativas estruturadas na rede lotérica e nas plataformas digitais, incluindo a ativação de concursos comemorativos e de oportunidade - como a Mega 30, alusiva aos 30 anos da Mega-Sena, e a Loteca da Copa, vinculada à Copa do Mundo - tratadas como alavancas estratégicas de negócio, potencializadas por campanhas de marketing integradas com pré-lançamento, teasers, mídia digital e paga, produção de fotos e vídeos, transmissões dos sorteios em TV e ações de engajamento direto via push e comunicações digitais, ampliando alcance, frequência e participação dos apostadores.
</t>
  </si>
  <si>
    <t>O desempenho vem mantendo o patamar mensal de arrecadação próximo ao orçado, em que ações comerciais e de engajamento de clientes vem sendo desenvolvidas para incremento dos resultados nos próximos períodos, como o concurso especial Loteca Especial e estratégias comerciais.</t>
  </si>
  <si>
    <t>IEO Recorrente (Índice de Eficiência Operacional Recorrente)</t>
  </si>
  <si>
    <t>((Despesa de pessoal + Despesas Administrativas) / Receitas
Líquidas) *100</t>
  </si>
  <si>
    <t>SUCTF</t>
  </si>
  <si>
    <t>≤ 14,03%</t>
  </si>
  <si>
    <t>Em janeiro/26 a companhia obteve lucro líquido de R$ 119,4 milhões, receita total de R$ 223,6 milhões e nosso Indice de Eficiência Operacional atingiu 6,42%.</t>
  </si>
  <si>
    <t>Renata Dias de Faria</t>
  </si>
  <si>
    <t>Em fevereiro/26 a companhia obteve lucro líquido de R$ 222,0 milhões, receita total de R$ 438,9 milhões e nosso Indice de Eficiência Operacional atingiu 11,00%.</t>
  </si>
  <si>
    <t>Em março/26 a companhia obteve lucro líquido de R$ 336,3 milhões, receita total de R$ 663,2 milhões e nosso Indice de Eficiência Operacional atingiu 10,80%.</t>
  </si>
  <si>
    <t>Abril / 2026
Despesa de Pessoal e Administrativa: 89.043.444,39
Receitas Líquidas: 800.062.366,68
IEO: 11,13%
Fonte: Balancete Abr/26
Resultado também disponível no BI: https://app.powerbi.com/groups/3cb6ac85-d0ab-4193-862e-38f38445db5f/reports/0610b0db-29b1-434b-bf54-08a553c9e3b0/7d8132beb70801a9ed80?experience=power-bi&amp;clientSideAuth=0</t>
  </si>
  <si>
    <t xml:space="preserve">Maio / 2026
Despesa de Pessoal e Administrativa: 111.918.855,78
Receitas Líquidas: 1.004.116.152,00
IEO: 11,15%
Fonte: Balancete Mai/26
Resultado disponível no BI: 
https://app.powerbi.com/groups/me/reports/8c5e0c3c-4273-4e24-ab1c-f0e43503c634/7d8132beb70801a9ed80?experience=power-bi&amp;clientSideAuth=0 
</t>
  </si>
  <si>
    <t xml:space="preserve">Junho / 2026
Despesa de Pessoal e Administrativa:  R$ 133.544.533,40 
Receitas Líquidas:  R$ 1.198.234.728,56 
IEO: 11,15%
Fonte: Balancete Jun/26
Resultado disponível no BI: 
https://app.powerbi.com/groups/me/reports/8c5e0c3c-4273-4e24-ab1c-f0e43503c634/7d8132beb70801a9ed80?experience=power-bi&amp;clientSideAuth=0 
</t>
  </si>
  <si>
    <t>Ana Luiza Moretti</t>
  </si>
  <si>
    <t>Lucro Líquido Recorrente</t>
  </si>
  <si>
    <t>Valor do Lucro Líquido apurado para o Exercício</t>
  </si>
  <si>
    <t>R$ 1,209 bilhões</t>
  </si>
  <si>
    <t>Em janeiro/26 a companhia obteve lucro líquido de R$ 119,4 milhões, receita total de R$ 223,6 milhões e nosso Indice de Eficiência Operacional atingiu 6,42%.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</si>
  <si>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fevereiro/26 a companhia obteve lucro líquido de R$ 222,0 milhões, receitas totais de R$ 438,9 milhões e despesas totais de R$ 216,9.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</si>
  <si>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março/26 a companhia obteve lucro líquido de R$ 336,3 milhões, receita total de R$ 663,2 milhões e  despesas de R$ 326,3.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t>
  </si>
  <si>
    <t>Em abril/26 a companhia obteve lucro líquido de R$ 448,1 milhões, receita total de R$ 887,0 milhões e  despesas de R$ 438,8 milhões. 
Fonte: Balancete Abr/26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
Resultado disponível no B.I: https://app.powerbi.com/groups/3cb6ac85-d0ab-4193-862e-38f38445db5f/reports/0610b0db-29b1-434b-bf54-08a553c9e3b0/7d8132beb70801a9ed80?experience=power-bi&amp;clientSideAuth=0</t>
  </si>
  <si>
    <t>Em maio/26 a companhia obteve lucro líquido de R$ 562,6 milhões, receita total de R$ 1.113,4 milhões e  despesas de R$ 550,7 milhões. 
Fonte: Balancete Maio/26
Sugerimos o ajuste da meta do Lucro Líquido conforme reprogramação orçamentária, com base no seguinte trecho do Planejamento Estratégico Institucional 2026 - 2030: As metas estabelecidas nos Indicadores Estratégicos da Companhia acompanharão o Programa de Dispêndios Globais (PDG) vigente e demais reprogramações orçamentárias.
Resultado disponível no B.I: https://app.powerbi.com/groups/3cb6ac85-d0ab-4193-862e-38f38445db5f/reports/0610b0db-29b1-434b-bf54-08a553c9e3b0/7d8132beb70801a9ed80?experience=power-bi&amp;clientSideAuth=0</t>
  </si>
  <si>
    <t xml:space="preserve">Em junho/26 a companhia obteve lucro líquido de R$ 671,2 milhões, receita total de R$ 1.328,6 milhões e despesas de R$ 657,4 milhões. 
Fonte: Balancete Junho/26
Resultado disponível no B.I: https://app.powerbi.com/groups/3cb6ac85-d0ab-4193-862e-38f38445db5f/reports/0610b0db-29b1-434b-bf54-08a553c9e3b0/7d8132beb70801a9ed80?experience=power-bi&amp;clientSideAuth=0
</t>
  </si>
  <si>
    <t>Em julho/2026 a companhia obteve lucro líquido de R$ 780,6 milhões, receita total de R$ 1.545,8 milhões e despesas de R$ 765,2 milhões. 
Fonte: Balancete Julho/26
Resultado disponível no B.I: https://app.powerbi.com/reportEmbed?reportId=0610b0db-29b1-434b-bf54-08a553c9e3b0&amp;autoAuth=true&amp;ctid=ab9bba98-684a-43fb-add8-9c2bebede229&amp;actionBarEnabled=true&amp;reportCopilotInEmbed=true&amp;pageView=FitToPage&amp;filterPaneEnabled=false&amp;navContentPaneEnabled=true</t>
  </si>
  <si>
    <t>Isabella Melo Cintra</t>
  </si>
  <si>
    <t>Share da Plataforma de Jogos</t>
  </si>
  <si>
    <t>Tecnologia e Inovação</t>
  </si>
  <si>
    <t>(GGR da CAIXA Loterias) / (Total de GGR do Mercado) x100</t>
  </si>
  <si>
    <t>Piloto ou MVP (Mínimo Produto Viável) da Plataforma de Jogos</t>
  </si>
  <si>
    <t xml:space="preserve">De acordo com a meta estabelecida de Piloto/MVP, foi realizada alocação da Equipe Microsoft, Tecnologia da CAIXA, POs CAIXA Loterias.
</t>
  </si>
  <si>
    <t xml:space="preserve">De acordo com a meta estabelecida de Piloto/MVP, foi realizado Kickoff do projeto no período.
</t>
  </si>
  <si>
    <t>De acordo com a meta estabelecida de Piloto/MVP, ao longo do período foi realizada alocação da equipe do projeto, agenda de abertura (Kickoff), execução de dois ciclos de reuniões do projeto (sprints), contemplando a definição da arquitetura do sistema, processos e ferramentas, criação do ambiente tecnológico, concessão de acessos, definição negocial da funcionalidade de cadastro de canais de venda de loterias.</t>
  </si>
  <si>
    <t>Ao longo do 2TRI/26, para a funcionalidade de Registrar uma Aposta (em ambiente de desenvolvimento), as regras de negócio para a funcionalidade Registro de Apostas foram definidas pela SUCOL e  o Desenvolvimento no sistema SIPLX foi realizado pela área de Tecnologia, disponibilizada em ambiente de desenvolvimento conforme telas do sistema que evidenciam  esta entrega</t>
  </si>
  <si>
    <t>Clima Organizacional</t>
  </si>
  <si>
    <t>Pessoas, Cultura e Agilidade</t>
  </si>
  <si>
    <t>Great Place to Work (GPTW)</t>
  </si>
  <si>
    <t>GERIN</t>
  </si>
  <si>
    <t>Média Geral =&gt; 60</t>
  </si>
  <si>
    <t>Divulgação para os gestores, dos resultados da Pesquisa de Clima Organizacional referente ao exercício de 2025, promovendo o conhecimento e a transparência quanto à percepção dos empregados. A partir da análise dos resultados, foram identificados e priorizados os principais pontos de atenção e temas estratégicos a serem desenvolvidos ao longo do ano de 2026, alinhados às diretrizes institucionais de fortalecimento do clima organizacional. Ainda no mês de janeiro de 2026, foi definida a composição do grupo de empregados que atuarão diretamente na construção e detalhamento do plano de ação para o ciclo de 2026.
Evidência:
Apresentação oficial dos resultados da Pesquisa de Clima Organizacional 2025 aos empregados com cargo de gestão, debates e proposição de ideias para a melhoria dos principais pontos críticos divulgados.
As ações desenvolvidas ao longo dos meses têm como objetivo atingir a meta, cuja efetividade será avaliada após a realização de nova pesquisa a ser efetuada em Novembro 2026.</t>
  </si>
  <si>
    <t>Claudiane Santos Souza</t>
  </si>
  <si>
    <t>Foi realizado o Workshop Plano de Ação CAIXA Loterias, conduzida pela GPTW, responsável pela Pesquisa de Clima Organizacional 2025 e pelo apoio metodológico ao ciclo de 2026. Durante o encontro, foram identificadas oportunidades de melhorias, definição dos planos de ação a serem desenvolvidos com desdobramento por equipes, garantindo representatividade, engajamento e estabelecimento de responsabilidades.
Evidência:
Registro do Workshop GPTW, contendo a definição dos planos de ação, a divisão por equipes e o cronograma com datas previstas para acompanhamento, entregas e reuniões periódicas de monitoramento do andamento das ações.
As ações desenvolvidas ao longo dos meses têm como objetivo atingir a meta, cuja efetividade será avaliada após a realização de nova pesquisa a ser efetuada em Novembro 2026.</t>
  </si>
  <si>
    <t>No primeiro trimestre foi instituído grupo de trabalho com representantes de todas as diretorias da Companhia, com o objetivo de tratar o retorno da pesquisa de clima. Esses grupos desenvolveram um plano de ação que será implementado ao longo de 2026 até a realização da próxima pesquisa de clima.</t>
  </si>
  <si>
    <t xml:space="preserve">Plano de Ação apresentado para Diretores, SN,GN e demais gestores para ajustes e validação.
Posteriormente, apresentação para toda a CAIXA Loterias.
</t>
  </si>
  <si>
    <t>Helton Sol Goncalves</t>
  </si>
  <si>
    <t>Plano de Ação inicializado com toda a CAIXA Loterias, seguindo as iniciativas criadas pelos grupos.</t>
  </si>
  <si>
    <t xml:space="preserve">Iniciativas em andamento com toda a CAIXA Loterias, conforme previsto no Plano de Ação.
Ponto de Controle semanal para acompanhamento, monitoramento e mensuração dos resultados obtidos até momento.
</t>
  </si>
  <si>
    <t>Apoio ao Desenvolvimento Socioambiental</t>
  </si>
  <si>
    <t>Sustentabilidade e Cidadania</t>
  </si>
  <si>
    <t>02 (duas) iniciativas apoiadas</t>
  </si>
  <si>
    <t>GENOL</t>
  </si>
  <si>
    <t xml:space="preserve">As iniciativas encontram-se em fase de propecção e estruturação, para posterior encaminhamento em rito de governança da CAIXA Loterias.
</t>
  </si>
  <si>
    <t>Norma de Patrocínios da CAIXA Loterias em rito de validação e aprovação com previsão de publicação no 3º trimestre de 2026. Vale ressaltar que recebemos diversas propostas alinhadas ao desenvolvimento socioambiental, via Portal de Patrocínios da CAIXA, canal utilizado para recepção de propostas de projetos, que serão avaliadas nos próximos períodos, à luz da norma da Companhia.</t>
  </si>
  <si>
    <t>Repasse Social</t>
  </si>
  <si>
    <t>SULOT</t>
  </si>
  <si>
    <t>≥ R$10,4 bilhões</t>
  </si>
  <si>
    <t xml:space="preserve">
Repasses Janeiro/2026 descontando o IR sobre os prêmios pagos: 769.496.203,14</t>
  </si>
  <si>
    <t>Conforme relatório de repasses publicado na página das Loterias. 
Os  valores dos repasses descontando o o IR sobre prêmios pagos:
Repasses Janeiro/2026: 769.496.203,14
Repasses Fevereiro/2026: 736.885.188,18
Repasses Acumulado Jan/Fev: 1.506.381,391,32</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</si>
  <si>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Repasses Acumulado Jan a Mar/26: 2.253.033.145,92</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</si>
  <si>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 Março/2026: 746.651.754,60
Repasse Abril/2026: 781.984.626,98
Repasses Acumulado Jan a Abril/26: 3.035.017.772,90</t>
  </si>
  <si>
    <t>Ana Carla Pereira Lopes</t>
  </si>
  <si>
    <t>Conforme relatório de repasses publicado na página das Loterias (https://loterias.caixa.gov.br/Documents/repasses-sociais/repasses-sociais-sintetico.pdf). 
Os  valores dos repasses descontando o o IR sobre prêmios pagos:
Repasses Janeiro/2026: 769.496.203,14
Repasses Fevereiro/2026: 736.885.188,18
Repasse Março/2026: 746.651.754,60
Repasse Abril/2026: 781.984.626,98
Repasse Maio/2026: 802.390.785,39
Repasses Acumulado Jan a Abril/26: 3.837.408.558,29</t>
  </si>
  <si>
    <t>A meta estabelecida para o período considerou a projeção orçamentária prevista no orçamento da Companhia.
Seguem abaixo os valores aferidos referentes ao segundo trimestre/2026 (acumulados):
Repasses Abril/2026: R$ 3.035.017.772,90
Repasses Maio/2026: R$ 3.837.408.558,29
Repasses Junho/26: R$ 4.615.037.076,03</t>
  </si>
  <si>
    <t>Princípios de Jogo Responsável</t>
  </si>
  <si>
    <t>Nível 3 RGF-WLA – Executar ações de melhoria para os 10
elementos</t>
  </si>
  <si>
    <t>SURCI</t>
  </si>
  <si>
    <t>No contexto do objetivo do PEI “Nível 3 RGF‑WLA – Executar ações de melhoria para os 10 elementos”, registra-se que já foi concluída a instituição do Fórum de Jogo Responsável, iniciativa que materializa o elemento “Engajamento das Partes Interessadas” ao reunir representantes para, em encontros semestrais, acompanhar o Programa, colher contribuições e preocupações e promover melhorias.  Há outras ações em execução, que avançam sobre os demais 9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Desse modo, tem-se que o realizado cumpre o esperado para o período (1TRI26).</t>
  </si>
  <si>
    <t>Daniel Macedo Couto</t>
  </si>
  <si>
    <t>No contexto do objetivo do PEI “Nível 3 RGF‑WLA – Executar ações de melhoria para os 10 elementos”, registra-se que, no 1TRI26, foi concluída a instituição do Fórum de Jogo Responsável, iniciativa que materializa o elemento “Engajamento das Partes Interessadas” ao reunir representantes para, em encontros semestrais, acompanhar o Programa, colher contribuições e preocupações e promover melhorias. 
No 2TRI26, em Abril, foi realizada ação sobre o elemento 8 - ORIENTAÇÃO SOBRE TRATAMENTO, tendo sido revista a relação de entidades indicadas para tratamento e atendimento ao público afetado.
Há outras ações em execução, que avançam sobre os demais 8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2 das ações de 10 previstas para o ano.  
Desse modo, tem-se que o realizado no mês de abril cumpre o esperado para o período.</t>
  </si>
  <si>
    <t>No contexto do objetivo do PEI “Nível 3 RGF‑WLA – Executar ações de melhoria para os 10 elementos”, registra-se que, no 1TRI26, foi concluída a instituição do Fórum de Jogo Responsável, iniciativa que materializa o elemento “Engajamento das Partes Interessadas” ao reunir representantes para, em encontros semestrais, acompanhar o Programa, colher contribuições e preocupações e promover melhorias. 
No 2TRI26, até o momento, foi realizada ação sobre o elemento 8 - ORIENTAÇÃO SOBRE TRATAMENTO, tendo sido revista a relação de entidades indicadas para tratamento e atendimento ao público afetado.
Há outras ações em execução, que avançam sobre os demais 8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2 das ações de 10 previstas para o ano.  
Desse modo, tem-se que o realizado no mês de abril cumpre o esperado para o período.</t>
  </si>
  <si>
    <t>No contexto do objetivo “Nível 3 RGF WLA – Executar ações de melhoria para os 10 elementos”, no 2º trimestre de 2026 foram executadas ações associadas a diferentes elementos da Estrutura de Jogo Responsável da WLA. Destacam-se a implantação da URA de Jogo Responsável, com disponibilização de autoavaliação e direcionamento para instituições de apoio e tratamento (Elemento 8 – Tratamento do Jogador); a realização de treinamento corporativo sobre Jogo Responsável para empregados e Alta Administração (Elemento 2 – Empregados); a capacitação na metodologia GamGard para equipes responsáveis pelo desenvolvimento e revisão de produtos e canais digitais (Elemento 4 – Design de Jogos e Elemento 5 – Jogos Remotos); e a evolução dos trabalhos de definição, aperfeiçoamento e consolidação de indicadores de monitoramento do Programa (Elemento 10 – Relatórios e Medição). Paralelamente, foram realizadas atividades de revisão, atualização e consolidação de evidências, acompanhamento do plano de ação corporativo e alinhamento com as áreas responsáveis pelos requisitos da certificação RGF/WLA. Dessa forma, o Programa avançou sobre os Elementos 2, 3, 4, 5, 8 e 10, mantendo trajetória compatível com o cronograma de evolução previsto para o exercício e superando o quantitativo mínimo esperado para o período.
Há outras ações em execução, que avançam sobre os demais elementos do Programa, e seu cronograma decorre de sequenciamento técnico, dependências entre entregas e cadência operacional de implementação, razão pela qual o atendimento ocorrerá em curva ao longo do exercício, conforme esperado para o período: 1 elemento no 1º trimestre; 2 elementos no 2º; 5 elementos no 3º; e 10 elementos no 4º trimestre, de forma cumulativa, mantendo a trajetória de evolução planejada do Programa.
Finalizadas 5 das ações de 10 previstas para o ano.  
Desse modo, tem-se que o realizado no mês cumpre o esperado para o período.</t>
  </si>
  <si>
    <t>Arrecadação Gerada com o Ecossistema</t>
  </si>
  <si>
    <t>Atuação em Ecossistema</t>
  </si>
  <si>
    <t>(Arrecadação via ecossistema / Arrecadação total) x 100</t>
  </si>
  <si>
    <t>≥ 10% em relação ao exercício de 2025</t>
  </si>
  <si>
    <t xml:space="preserve">No mês de janeiro, o desempenho de vendas da Lotex apurado a partir da referência de prestação de contas apresentou resultado significativamente abaixo da meta mensal. Não foram identificados problemas de ordem técnica, operacional ou logística que justificassem a redução do valor apurado. O principal indício observado foi a redução do patamar de pedidos de bilhetes pelos lotéricos no meses de novembro e dezembro de 2025, em comparação a setembro e outubro do mesmo ano, possivelmente em função do direcionamento do esforço de vendas para a Mega da Virada. Esse comportamento contribuiu para um resultado mensal abaixo da média histórica.
</t>
  </si>
  <si>
    <t xml:space="preserve">Em fevereiro, o desempenho de vendas da Lotex apurado com base na prestação de contas apresentou recuperação relevante em relação ao mês anterior, retornando ao patamar médio observado ao longo de 2025. Embora o resultado ainda tenha ficado abaixo da meta mensal definida, o volume registrado no período indica recomposição do ritmo de vendas e maior aderência ao desempenho histórico recente.
</t>
  </si>
  <si>
    <t xml:space="preserve">No mês de março, o desempenho de vendas apresentou evolução substancial observada em relação a fevereiro, alcançando patamar superior a 60% da meta mensal. Destaca-se que, nesse período, foi iniciado o débito de bilhetes da Lotex correspondentes a remessas efetuadas em exercícios anteriores, especificamente de 2025, com ênfase nos bilhetes de valor nominal de R$ 20,00, fator que contribuiu para o incremento do resultado apurado na prestação de contas do mês.
</t>
  </si>
  <si>
    <t>O mês de abril registrou realizado em 4,03%, com alcance da meta em 108,70%. As iniciativas do período reforçaram a atuação da Rede Lotérica via plataforma de comercialização de bolão online, Marketplace, além do resultado da Lotex, fatores que contribuíram para o resultado apurado na prestação de contas do mês.</t>
  </si>
  <si>
    <t>O mês de maio registrou realizado em 4,07%, com alcance da meta em 114,29%. As iniciativas do período reforçaram a atuação da Rede Lotérica via plataforma de comercialização de bolão online, Marketplace, além do resultado da Lotex, fatores que contribuíram para o resultado apurado na prestação de contas do mês.</t>
  </si>
  <si>
    <t>Ao fechamento do período 2TRI2026, o desempenho de vendas registrou realizado em 4,22%, com alcance da meta em 117,13%. As iniciativas do período reforçaram a atuação da Rede Lotérica via plataforma de comercialização de bolão online, Marketplace, além do resultado da Lotex, fatores que contribuíram para o resultado apurado na prestação de contas do mês.</t>
  </si>
  <si>
    <t>Índice de Clientes Ativos em Canais Digitais</t>
  </si>
  <si>
    <t>PN</t>
  </si>
  <si>
    <t>((QMAATU/QMAANT) *100) -100</t>
  </si>
  <si>
    <t>Crescer 28% na quantidade média mensal de clientes ativos
no ano</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</si>
  <si>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2.480.052, um aumento de 74,13% em relação ao ano anterior (1.424.272).
</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</si>
  <si>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2.574.955, um aumento de 75.50% em relação ao ano anterior (1.467.251).
</t>
  </si>
  <si>
    <t xml:space="preserve">O resultado do indicador evidencia o sucesso das ações de aquisição, reativação e engajamento de clientes, além do impacto positivo das iniciativas de digitalização e personalização da jornada. A média de clientes ativos nos últimos 12 meses foi de 2.673.026, um aumento de 79,79% em relação ao ano anterior (1.486.779).
</t>
  </si>
  <si>
    <t>O resultado do indicador ratifica o sucesso das ações de aquisição, reativação e engajamento de clientes, além do impacto positivo das iniciativas de digitalização e personalização da jornada.</t>
  </si>
  <si>
    <t>O resultado do indicador ratifica o sucesso das ações de aquisição, reativação e engajamento de clientes, além do impacto positivo das iniciativas de digitalização e personalização da jornada. A média de clientes ativos nos últimos 12 meses foi de 3.040.125, um aumento de 62,16% em relação ao ano anterior (1.874.815).</t>
  </si>
  <si>
    <t>Aprimoramento da Experiência do Cliente</t>
  </si>
  <si>
    <t>(Nº de melhorias implementadas / Nº de melhorias identificas na
pesquisa NPS de baseline) x 100</t>
  </si>
  <si>
    <t>Implementar melhoria que atendam 25% das ocorrências apontadas na
pesquisa NPS de baseline.</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</si>
  <si>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240,38% para o mês de referência. 
</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</si>
  <si>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119,90% para o mês de referência. 
</t>
  </si>
  <si>
    <t xml:space="preserve">Foram implementadas melhorias que atenderam aproximadamente 5% das ocorrências mapeadas na pesquisa NPS. Embora o resultado ainda esteja abaixo da meta estabelecida, o indicador demonstra evolução e consolida uma agenda estruturada de melhorias, que deverá ser acelerada nos próximos ciclos para ampliar o impacto na percepção dos clientes. Referente ao Jogo responsável, foi implementada sistemática de mensageria para uso consciente (mensagens educativas) por meio de procedimento. O realizado de 5% representa 01 melhoria implementada, o que significa resultado de 80% para o período, o que reforça a necessidade de priorização de demandas relacionadas ao tema a fim de retomar patamar superior a 100% de atingimento.
</t>
  </si>
  <si>
    <t>3 entregas (acumuladas) no 2TRI/2026
Durante o período do 2TRI2026, foram implementadas 03 melhorias, a partir da demanda tecnológica nº 24547165.
As melhorias foram: 
i) Conferência automática completa:
Foi disponibilizada a conferência automática das apostas Teimosinhas, permitindo ao cliente visualizar de forma simples o resultado de cada concurso, com indicação clara das situações “Premiada”, “Não premiada” e “Em apuração”. A melhoria trouxe mais transparência e reduziu o esforço necessário para acompanhar os resultados. 
ii) Tela específica para Teimosinhas:
Foi criada uma tela dedicada para acompanhamento das Teimosinhas, reunindo em um único local a linha do tempo dos concursos, a informação de encerramento da aposta e um resumo consolidado dos resultados. A iniciativa simplificou a navegação e facilitou o acompanhamento da aposta pelo cliente. 
iii) Conferência automática de Teimosinhas - "Conferir Tudo":
Foi implementada solução de conferência automática para apostas Teimosinhas, passando a apresentar em uma única consulta o resultado de todos os concursos vinculados à aposta. Antes, os clientes visualizavam apenas o primeiro concurso, o que exigia consultas e conferências manuais e gerava dúvidas sobre a situação das apostas. A melhoria simplificou o acompanhamento dos resultados, reduziu etapas no processo de conferência e proporcionou uma experiência mais ágil e transparente.</t>
  </si>
  <si>
    <t>Aumentar Vendas Provenientes de Canais Digitais</t>
  </si>
  <si>
    <t>(Arrecadação total nos canais eletrônicos) / (Arrecadação total
dos produtos de loterias)</t>
  </si>
  <si>
    <t>Aumentar em 05 p.p. as vendas provenientes de canais digitais.</t>
  </si>
  <si>
    <t xml:space="preserve">O desempenho dos canais digitais apresentou crescimento acima do esperado, quando comparado com o mesmo período do ano de 2025, com aumento de 8,05 pontos percentuais, superando a meta de 5 p.p. O resultado reforça a maturidade das iniciativas digitais, a maior adesão dos clientes aos canais eletrônicos e a efetividade das estratégias de estímulo à migração digital.
</t>
  </si>
  <si>
    <t xml:space="preserve">O desempenho dos canais digitais apresentou crescimento acima do esperado, quando comparado com o mesmo período do ano de 2025, com aumento de 6,95 pontos percentuais, superando a meta de 5 p.p. O resultado reforça a maturidade das iniciativas digitais, a maior adesão dos clientes aos canais eletrônicos e a efetividade das estratégias de estímulo à migração digital.
</t>
  </si>
  <si>
    <t xml:space="preserve">O desempenho dos canais digitais apresentou crescimento acima do esperado, quando comparado com o mesmo período do ano de 2025, com aumento de 6,62 pontos percentuais, superando a meta de 5 p.p. O resultado reforça a maturidade das iniciativas digitais, a maior adesão dos clientes aos canais eletrônicos e a efetividade das estratégias de estímulo à migração digital.
</t>
  </si>
  <si>
    <t>O desempenho dos canais digitais apresentou crescimento acima do esperado, quando comparado com o mesmo período do ano de 2025. O resultado reforça a maturidade das iniciativas digitais, a maior adesão dos clientes aos canais eletrônicos e a efetividade das estratégias de estímulo à migração digital.</t>
  </si>
  <si>
    <t>O desempenho dos canais digitais apresentou crescimento acima do esperado, quando comparado com o mesmo período do ano de 2025, registrando ao final do 2TRI2026 realizado de 29,02%, e alcance da meta em 103,72%. O resultado reforça a maturidade das iniciativas digitais, a maior adesão dos clientes aos canais eletrônicos e a efetividade das estratégias de estímulo à migração digital.</t>
  </si>
  <si>
    <t>Aumentar as vendas com meio de pagamento de PIX</t>
  </si>
  <si>
    <t>(Arrecadação com o meio de pagamento Pix no ano corrente) /
(Arrecadação total nos canais eletrônicos no ano corrente)</t>
  </si>
  <si>
    <t>Aumentar em 05 p.p. as vendas com o meio de pagamento Pix no canal
eletrônico.</t>
  </si>
  <si>
    <t>O indicador acompanha, de forma cumulativa, a evolução das vendas com Pix no canal eletrônico ao longo de 2026. A meta mensal foi definida com base na média mensal observada em 2025, de R$ 296,8 milhões, sobre a qual foi aplicado um crescimento planejado de 5% ao mês, resultando em uma referência mensal de aproximadamente R$ 311,7 milhões.
A leitura de janeiro deve considerar que o parâmetro de comparação foi influenciado pelo crescimento consistente registrado ao longo de 2025, especialmente pela arrecadação mais elevada observada em dezembro, impactada pelas vendas da Mega da Virada. Nesse contexto, o resultado do mês apresenta comportamento compatível com a lógica de cálculo da meta e com o crescimento projetado para o início do exercício.</t>
  </si>
  <si>
    <t>Mantendo a apuração cumulativa do indicador, o acumulado esperado até fevereiro era de R$ 623,3 milhões, considerando a aplicação progressiva do crescimento mensal de 5% a partir da média de 2025. No mesmo período, o valor arrecadado totalizou R$ 767,8 milhões.
O resultado indica que, mesmo após a acomodação natural dos volumes mensais em relação ao pico de dezembro, o desempenho do Pix no canal eletrônico permanece consistente e alinhado à trajetória de crescimento prevista pela metodologia adotada para o indicador.</t>
  </si>
  <si>
    <t>Ao final do primeiro trimestre de 2026, o acumulado esperado para o indicador era de R$ 935,0 milhões, enquanto o valor efetivamente arrecadado atingiu R$ 1,127 bilhão. A comparação entre acumulado esperado e realizado permite uma leitura mais estável do desempenho, reduzindo impactos de variações sazonais pontuais.
O resultado trimestral confirma a aderência do comportamento do indicador à lógica de crescimento gradual de 5% ao mês estabelecida na meta, reforçando a adequação do critério de cálculo e acompanhamento adotado para o exercício.</t>
  </si>
  <si>
    <t>Ao final de abril de 2026, o acumulado esperado para o indicador, considerando a aplicação progressiva do crescimento mensal de 5% a partir da média de 2025, alcança o montante de R$ 1,246 bilhão, conforme trajetória definida no planejamento. O valor efetivamente arrecadado no período mantém-se em patamar compatível com o referencial projetado, evidenciando a continuidade do desempenho consistente das vendas com Pix no canal eletrônico.
A leitura acumulada até o mês permite reduzir a influência de oscilações pontuais e reforça a aderência do indicador à tendência de crescimento gradual estabelecida na meta. Observa-se, nesse contexto, a manutenção da relevância do meio de pagamento Pix na composição das vendas digitais, em linha com a estratégia de ampliação de eficiência e rentabilidade ao longo do exercício.</t>
  </si>
  <si>
    <t>Ao final de maio de 2026, o indicador alcança um acumulado esperado de R$ 1,558 bilhão, conforme a aplicação da metodologia de crescimento progressivo definida a partir da base de 2025. O desempenho observado no período evidencia a manutenção do ritmo de expansão das vendas com Pix no canal eletrônico, com comportamento coerente ao longo dos meses.
Com cinco meses de execução, o indicador já apresenta um padrão mais consolidado de evolução, reduzindo a influência de efeitos sazonais observados no início do ano e permitindo maior previsibilidade sobre sua trajetória. Nesse contexto, o resultado reforça a consistência da adoção do Pix como meio de pagamento predominante nas vendas digitais, contribuindo para o alcance dos objetivos de eficiência e rentabilidade estabelecidos para o exercício.</t>
  </si>
  <si>
    <t>Ao final de junho de 2026, o acumulado do indicador alcançou R$ 2,262 bilhões, mantendo trajetória superior à prevista na metodologia de acompanhamento estabelecida para o exercício. O resultado reflete a consolidação do Pix como principal meio de pagamento nos canais eletrônicos das Loterias CAIXA, sustentando o crescimento observado desde o início do ano.
Com seis meses de execução, o desempenho do indicador demonstra estabilidade e consistência, evidenciando a manutenção da preferência dos clientes pelo pagamento via Pix nas compras realizadas pelos canais digitais. A evolução acumulada reforça a contribuição desse meio de pagamento para o aumento da eficiência operacional e para os resultados comerciais dos canais eletrônicos ao longo do exercício.</t>
  </si>
  <si>
    <t>Ampliar a Capacidade de Desenvolvimento de Soluções de TIC
(Tecnologia da Informação e Comunicação)</t>
  </si>
  <si>
    <t>Contratação e/ou celebração de parceria para o desenvolvimento soluções
de TIC até o final do exercício de 2026</t>
  </si>
  <si>
    <t xml:space="preserve">Alinhamento com a TI CAIXA para contratação da Fábrica de Software
</t>
  </si>
  <si>
    <t xml:space="preserve">Elaboração da minuta do Termo de Referência (TR) do Contrato de Fábrica de Software; 
Elaboração da minuta do TR Carteira Digital
</t>
  </si>
  <si>
    <t xml:space="preserve">Ao longo do período, foi realizada a definição de escopo para construção de Termo de Referência (TR) para contratação de fábrica de software, sendo elaborado o TR e realizadas agendas para validação com a TI CAIXA.
Já para o projeto Carteira Digital, também foi realizada a definição de escopo para construção de TR, elaboração do TR, publicação da Consulta Pública de Informações – Request For Information (RFI).
</t>
  </si>
  <si>
    <t>Consolidação das contribuições do mercado que foram enviadas para a SUCOL durante a consulta pública de informações do TR Plataforma de Loterias e Carteira Digital
(evidências a serem consolidadas ao final do TRI)</t>
  </si>
  <si>
    <t xml:space="preserve">Em MAI/2026 foi realizado kickoff com o consultor Gartner, de forma a aprofundar a estratégia de TI e ratificar os caminhos de contratação a serem adotados para ampliação da capacidade de entrega de soluções para a CAIXA Loterias, considerando os subsídios recebidos em RFI sobre solução tecnólogica. Dessa forma, no que se refere à proposta do indicador, estão sendo realizados os estudos dos modelos de contratação adequados, que consubstanciarão as propostas de contratação com prosseguimento no 3º trimestre, no qual devem ser realizados RFPs, conforme o caso. A coleta dos insumos de mercado, e a revisão dos modelos a serem adotados é fundamental para permitir a continuidade das iniciativas de forma coordenada na companhia, otimizando esforços e frentes de atuação. 
Em JUL/2026 está prevista a realização de workshop presencial junto a Gartner e CAIXA Loterias, a partir do qual haverá o aprofundamento e consolidação dos insumos já disponibilizados pelo mercado.
Na frente de CRM, ao longo do período foram realizadas etapas do processo de pesquisa de mercado para contratação de uma plataforma de CRM. 
Em paralelo, a Controladora CAIXA aprovou em rito de governança próprio a contratação da empresa Salesforce, contemplado em seu objeto plataforma de CRM para a CAIXA. Nesse sentido, foram iniciadas alinhamentos para uso pela CAIXA Loterias, conforme rito via TAO.
</t>
  </si>
  <si>
    <t>Mulheres Chefes de Unidade e Gestoras</t>
  </si>
  <si>
    <t>(somatório de mulheres gestoras) / (total de gestores da
Companhia)</t>
  </si>
  <si>
    <t>Alcançar, no mínimo, 42,5% de mulheres gestoras na CAIXA Loterias,
alcançando o valor atual da CAIXA (out/25).</t>
  </si>
  <si>
    <t>10 mulheres de 33 gestores</t>
  </si>
  <si>
    <t xml:space="preserve">15 mulheres de 42  Gestores </t>
  </si>
  <si>
    <t>(16)gestoras do sexo feminino/(43) gestores no total</t>
  </si>
  <si>
    <t>16 mulheres de 43 gestores</t>
  </si>
  <si>
    <t xml:space="preserve">16 mulheres de 45 Gestores 
</t>
  </si>
  <si>
    <t xml:space="preserve">
19 mulheres de 46 Gestores
https://infopessoas.caixa/infopessoas/genero_tipo_fg.asp</t>
  </si>
  <si>
    <t>Conforme o apurado no "INFOPESSOAS", a CAIXA Loterias (DILOT) possui 19 gestoras (5 em chefia de unidade e 14 ocupantes de cargos gerencias) de um total de 46 (12 de chefia de unidade e 34 funções gerenciais).</t>
  </si>
  <si>
    <t>Paulo Henrique Silva Gurgel</t>
  </si>
  <si>
    <t>Gestores Negros, Amarelos, Pardos ou Indígenas e/ou PcD</t>
  </si>
  <si>
    <t>(somatório de negros, amarelos, pardos ou indígenas e/ou
PcD gestores) / (total de gestores da Companhia)</t>
  </si>
  <si>
    <t>Alcançar, no mínimo, 35% de empregados negros, amarelos, pardos ou
indígenas e/ou PcD como gestores.</t>
  </si>
  <si>
    <t>9 gestores negros, amarelos, pardos ou indígenas e/ou PCD de 33 gestores</t>
  </si>
  <si>
    <t>11 de 42 gestores</t>
  </si>
  <si>
    <t xml:space="preserve">11/43 gestores </t>
  </si>
  <si>
    <t>11 de 43 gestores</t>
  </si>
  <si>
    <t xml:space="preserve">12 de um total de 45 Gestores
</t>
  </si>
  <si>
    <t>11 de 46 gestores 
Fonte: 	ps://infopessoas.caixa/infopessoas/raca_cor_tipo_fg.asp</t>
  </si>
  <si>
    <t>Conforme o apurado no "INFOPESSOAS", a CAIXA Loterias (DILOT) possui 12 gestores PPIA + PCD de um total de 46 (12 de chefia de unidade e 34 funções gerenciais).</t>
  </si>
  <si>
    <t>Capacitação dos Empregados da CAIXA Loterias</t>
  </si>
  <si>
    <t>90% dos Dirigentes e empregados ativos com função, lotados na Companhia
há mais de 60 dias, capacitados na Trilha de Desenvolvimento.</t>
  </si>
  <si>
    <t xml:space="preserve">Foi iniciado o desenvolvimento das Vitrines das Unidades da CAIXA Loterias a fim de direcionar a elaboração da Trilha de Capacitação específica para os empregados da Companhia, com previsão de implantação para o segundo trimestre. 
A partir do lançamento da Trilha, serão realizados trabalhos voltados para a disseminação da Trilha e engajamento dos colaboradores, com o monitoramento mensal até o cumprimento da meta estabelecida para o mês de DEZ/2026.
</t>
  </si>
  <si>
    <t>Continuidade da elaboração das Vitrines pelas Unidades da CAIXA Loterias, haja vista a finalização operacional da alteração da Estrutura Organizacional da Companhia, aprovada pelo CA em 04 DEZ 2025.
Início do desenvolvimento da Trilha de Capacitação específica para os empregados da Companhia, com previsão de implantação no segundo trimestre. 
A partir do lançamento da Trilha, serão realizados trabalhos voltados para a disseminação da Trilha e engajamento dos colaboradores, com o monitoramento mensal até o cumprimento da meta estabelecida para o mês de DEZ/2026.</t>
  </si>
  <si>
    <t>Encontra-se em construção a trilha de capacitação específica para a CAIXA Loterias, com previsão de implantação para o segundo trimestre. 
A partir do lançamento da Trilha, serão realizados trabalhos voltados para a disseminação da Trilha e engajamento dos colaboradores, com o monitoramento mensal até o cumprimento da meta estabelecida para o mês de DEZ/2026.</t>
  </si>
  <si>
    <t xml:space="preserve">Concluído relatório técnico referente à Trilha de Desenvolvimento da CAIXA Loterias, contendo as especificações da Escola e foi apresentado a sugestão do Plano de Comunicação da Trilha de Desenvolvimento da CAIXA Loterias.
Previsão do lançamento da Escola no segundo trimestre de 2026.
 </t>
  </si>
  <si>
    <t>Apresentação oficial da Trilha de Desenvolvimento Institucional, alinhada aos Pilares Estarégicos.
Concebida sob a abordagem de educação corporativa continuada, a trilha organiza os conhecimentos, habilidades e atitudes necessários ao desempenho institucional, assegurando alinhamento entre o direcionamento estratégico, competências organizacionais e resultados esperados.</t>
  </si>
  <si>
    <t>Meta estipulada em 90% para que os empregados realizem os dois cursos propostos na trilha de desenvolvimento, quais sejam: Certificação do Jogo Responsável e Certificação CAIXA Digital 2. Sendo que 177 empregados no total de 183 empregados (até 30/06/2026).</t>
  </si>
  <si>
    <t>Incentivo Socioambiental</t>
  </si>
  <si>
    <t>Valor investido em iniciativas com impacto socioambiental</t>
  </si>
  <si>
    <t>Investir 0,33% do Lucro Líquido do ano em projetos de impacto
socioambiental</t>
  </si>
  <si>
    <t xml:space="preserve">Os projetos encontram-se em fase de propecção e estruturação, para posterior encaminhamento em rito de governança da CAIXA Loterias.
</t>
  </si>
  <si>
    <t>Visibilidade dos Repasses Sociais das Loterias CAIXA</t>
  </si>
  <si>
    <t>(Total de ações realizadas / Total de ações propostas) × 100</t>
  </si>
  <si>
    <t>Implantar 100% das ações propostas
1 SEM – Publicar relatório institucional “A Sorte em Números – 2025”,
consolidando dados de repasse social com linguagem acessível e foco em
transparência pública.
2 SEM – Realizar campanha publicitária exclusiva com foco no repasse social
das Loterias CAIXA, a ser veiculada nos canais oficiais da Companhia e
demais meios estratégicos.</t>
  </si>
  <si>
    <t xml:space="preserve">Sorte em Números em diagramação. Campanha de repasses prevista para segundo semestre.
</t>
  </si>
  <si>
    <t xml:space="preserve">Em fase de consolidação de dados para o relatório "Sorte em Números"
</t>
  </si>
  <si>
    <t xml:space="preserve">Relatório "Sorte em Números" demandado para confecção por agência especializada.
</t>
  </si>
  <si>
    <t>Relatório "Sorte em Números" demandado para confecção por agência especializada.</t>
  </si>
  <si>
    <t>O Relatório Sorte em Números foi publicado no site em 17 junho de 2026, disponível no seguinte endereço: https://www.caixa.gov.br/Downloads/caixa-loterias/Relatorio-Sorte-em-Numeros-2025.pdf</t>
  </si>
  <si>
    <t>Jogo Responsável 2026</t>
  </si>
  <si>
    <t>(% de empregados com Iniciativas de Jogo Responsável
concluídas) / (Nº de empregados lotados na CAIXA Loterias
ativos no ano)</t>
  </si>
  <si>
    <t>Atingir 90% dos Dirigentes e empregados ativos com função, lotados na
Companhia há mais de 60 dias, capacitados em pelo menos 02 (duas)
iniciativas de disseminação da cultura do Jogo Responsável.</t>
  </si>
  <si>
    <t>Foi apurado que 137 funcionários, de 151, realizaram uma ação de disseminação de JR até 31/01/2026, na Universidade CAIXA. As outras ações referentes ao Jogo Responsável serão realizadas no decorrer no ano de 2026.
Por se tratar de objetivo a ser realizado e concluído ao longo de 2026, não há descolamento entre o percentual realizado e o esperado no 1TRI26.</t>
  </si>
  <si>
    <t>Karina Ribeiro Dias</t>
  </si>
  <si>
    <t>Foi apurado que 151 funcionários, de 184, realizaram uma ação de disseminação de JR até 30/04/2026, na Universidade CAIXA. As outras ações referentes ao Jogo Responsável serão realizadas no decorrer no ano de 2026.
Por se tratar de objetivo a ser realizado e concluído ao longo de 2026, não há descolamento entre o percentual realizado e o esperado no 2TRI26.</t>
  </si>
  <si>
    <t xml:space="preserve">Foi apurado que 82 funcionários, de 184, realizaram 2 ações de disseminação de JR até 31/05/2026, correspondendo à 44,56%:
- Curso na Universidade CAIXA
- Capacitação em Jogo Responsável, realizada em maio/2026 na Universidade CAIXA.
Outras ações referentes ao Jogo Responsável serão realizadas no decorrer no ano de 2026.
Por se tratar de objetivo a ser realizado e concluído ao longo de 2026, não há descolamento entre o percentual realizado e o esperado no 2ºTRI26.
</t>
  </si>
  <si>
    <t>Foi apurado que 123 funcionários, de 184, realizadam/participaram de ao menos 2 ações de disseminação de JR até 30/06/2026, correspondendo à 66,85%:
- Curso na Universidade CAIXA;
- Capacitação em Jogo Responsável, realizada em maio/2026 na Universidade CAIXA;
- Capacitação em Design de Jogos - GamGard - realizado em junho/2026 na Universidade CAIXA.
Outras ações referentes ao Jogo Responsável serão realizadas no decorrer no ano de 2026.
Por se tratar de objetivo a ser realizado e concluído ao longo de 2026, o percentual realizado e o esperado no 2ºTRI26 estão dentro do planejamento.</t>
  </si>
  <si>
    <t>Marcos Vinicius e Silva</t>
  </si>
  <si>
    <t>Participação da Rede Lotérica nos Negócios da CAIXA Loterias</t>
  </si>
  <si>
    <t>(Resultado Arrecadação na Rede Lotérica 2026) / (Resultado
Arrecadação Rede Lotérica 2025) x 100</t>
  </si>
  <si>
    <t>Alcançar 2% de incremento na arrecadação de loterias na Rede Lotérica</t>
  </si>
  <si>
    <t xml:space="preserve">O incremento na arrecadação da Rede Lotérica atingiu 10,22%, superando de maneira significativa o objetivo de crescimento do período. O resultado evidencia a efetividade das ações comerciais, operacionais e de relacionamento com a rede, contribuindo de forma direta para o fortalecimento do canal físico como pilar da arrecadação.
</t>
  </si>
  <si>
    <t xml:space="preserve">O desempenho da arrecadação da Rede Lotérica em fevereiro de 2026 apresentou involução de 3,76%, posicionando-se abaixo da meta de crescimento de 0,5% estabelecida para o período.  O resultado indica a necessidade de reforço de ações comerciais e de estímulo à demanda, bem como ajustes operacionais e de comunicação com a rede, de forma a mitigar impactos sazonais e recuperar a trajetória de crescimento nos meses subsequentes.
</t>
  </si>
  <si>
    <t xml:space="preserve">Em março, a arrecadação da Rede Lotérica apresentou crescimento de 0,57%. Menciona-se que a evolução positiva reforça a efetividade inicial das ações de estímulo adotadas, ao mesmo tempo em que demonstra a necessidade de manutenção e intensificação das estratégias comerciais e operacionais, visando consolidar a recuperação e assegurar o atingimento da meta nos próximos períodos. Estratégias estruturantes do portfólio estão em andamento, como o lançamento do concurso especial alusivo à comemoração da Mega 30 anos a ser comercializado no 1SEM26.
</t>
  </si>
  <si>
    <t>Nos dados acumulados, a arrecadação da Rede Lotérica atingiu 101,9%, com alcance da meta 100,90%. As iniciativas do período reforçaram a atuação da Rede Lotérica via balcão presencial e plataforma de comercialização de bolão online, Marketplace, fatores que contribuíram para o resultado apurado na prestação de contas do mês.</t>
  </si>
  <si>
    <t>Nos dados acumulados, a arrecadação da Rede Lotérica atingiu 102,5%, com alcance da meta 101,48%. As iniciativas do período reforçaram a atuação da Rede Lotérica via balcão presencial e plataforma de comercialização de bolão online, Marketplace, fatores que contribuíram para o resultado apurado na prestação de contas do mês.</t>
  </si>
  <si>
    <t>Nos dados acumulados até JUN/26, a arrecadação da Rede Lotérica atingiu 98,8%, com alcance da meta 97,84%. No mesmo período, foi registrado aumento de 35,87% nas vendas nos canais eletrônicos (dados acumulados).
Em análise dos dados, cabe mencionar que quando observado apenas os números de JUN/26, o canal físico registrou queda de 4,93%, em comparação ao mesmo mês de 2025. 
Em função da dinâmica do comércio durante a Copa do Mundo 2026, observa-se impacto nos resultados de arrecadação do portfólio de loterias especialmente no canal físico, sendo observada a preferência do cliente para compras por meio dos canais digitais. 
Durante o mês de JUN/26, foi realizado o concurso especial Loteca Especial, cuja jornada é exclusiva nos canais digitais, reforçando o comportamento do cliente no ambiente digital.</t>
  </si>
  <si>
    <t>Teste</t>
  </si>
  <si>
    <t>Item de teste e desenvolvimento</t>
  </si>
  <si>
    <t>Todos</t>
  </si>
  <si>
    <t>TODAS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</si>
</sst>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0000_-;\-* #,##0.0000_-;_-* &quot;-&quot;??_-;_-@_-"/>
  </numFmts>
  <fonts count="5"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sz val="11"/>
      <color rgb="FF000000"/>
      <name val="Aptos Narrow"/>
      <family val="2"/>
    </font>
  </fonts>
  <fills count="3">
    <fill>
      <patternFill patternType="none"/>
    </fill>
    <fill>
      <patternFill patternType="gray125"/>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style="thin">
        <color theme="1" tint="0.249977111117893"/>
      </left>
      <right style="thin">
        <color theme="1" tint="0.249977111117893"/>
      </right>
      <top style="thin">
        <color theme="1" tint="0.249977111117893"/>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2" xfId="0" applyFont="1" applyBorder="1" applyAlignment="1">
      <alignment vertical="center"/>
    </xf>
    <xf numFmtId="0" fontId="3" fillId="0" borderId="2" xfId="0" applyFont="1" applyBorder="1"/>
    <xf numFmtId="43" fontId="0" fillId="0" borderId="2" xfId="1" applyFont="1" applyBorder="1"/>
    <xf numFmtId="0" fontId="3" fillId="0" borderId="2" xfId="2" applyNumberFormat="1" applyFont="1" applyBorder="1"/>
    <xf numFmtId="17" fontId="3" fillId="0" borderId="2" xfId="0" applyNumberFormat="1" applyFont="1" applyBorder="1"/>
    <xf numFmtId="0" fontId="3" fillId="0" borderId="3" xfId="0" applyFont="1" applyBorder="1"/>
    <xf numFmtId="0" fontId="3" fillId="0" borderId="1" xfId="0" applyFont="1" applyBorder="1"/>
    <xf numFmtId="9" fontId="3" fillId="0" borderId="1" xfId="2" applyFont="1" applyBorder="1"/>
    <xf numFmtId="0" fontId="3" fillId="0" borderId="0" xfId="0" applyFont="1"/>
    <xf numFmtId="43" fontId="3" fillId="0" borderId="2" xfId="1" applyFont="1" applyBorder="1"/>
    <xf numFmtId="164" fontId="3" fillId="0" borderId="2" xfId="0" applyNumberFormat="1" applyFont="1" applyBorder="1"/>
    <xf numFmtId="2" fontId="3" fillId="0" borderId="2" xfId="0" applyNumberFormat="1" applyFont="1" applyBorder="1"/>
    <xf numFmtId="0" fontId="3" fillId="0" borderId="2" xfId="0" applyFont="1" applyBorder="1" applyAlignment="1">
      <alignment vertical="center" wrapText="1"/>
    </xf>
    <xf numFmtId="0" fontId="3" fillId="0" borderId="4" xfId="0" applyFont="1" applyBorder="1"/>
    <xf numFmtId="43" fontId="4" fillId="0" borderId="1" xfId="1" applyFont="1" applyBorder="1" applyAlignment="1">
      <alignment horizontal="center" vertical="center"/>
    </xf>
    <xf numFmtId="165" fontId="3" fillId="0" borderId="2" xfId="1" applyNumberFormat="1" applyFont="1" applyBorder="1"/>
    <xf numFmtId="0" fontId="3" fillId="2" borderId="2" xfId="0" applyFont="1" applyFill="1" applyBorder="1" applyAlignment="1">
      <alignment vertical="center"/>
    </xf>
    <xf numFmtId="0" fontId="3" fillId="2" borderId="2" xfId="0" applyFont="1" applyFill="1" applyBorder="1"/>
    <xf numFmtId="43" fontId="0" fillId="2" borderId="2" xfId="1" applyFont="1" applyFill="1" applyBorder="1"/>
    <xf numFmtId="0" fontId="3" fillId="2" borderId="2" xfId="2" applyNumberFormat="1" applyFont="1" applyFill="1" applyBorder="1"/>
    <xf numFmtId="17" fontId="3" fillId="2" borderId="2" xfId="0" applyNumberFormat="1" applyFont="1" applyFill="1" applyBorder="1"/>
    <xf numFmtId="0" fontId="3" fillId="2" borderId="3" xfId="0" applyFont="1" applyFill="1" applyBorder="1"/>
    <xf numFmtId="0" fontId="3" fillId="2" borderId="1" xfId="0" applyFont="1" applyFill="1" applyBorder="1"/>
    <xf numFmtId="9" fontId="3" fillId="2" borderId="1" xfId="2" applyFont="1" applyFill="1" applyBorder="1"/>
    <xf numFmtId="0" fontId="3" fillId="2" borderId="0" xfId="0" applyFont="1" applyFill="1"/>
    <xf numFmtId="43" fontId="3" fillId="2" borderId="2" xfId="1" applyFont="1" applyFill="1" applyBorder="1"/>
    <xf numFmtId="1" fontId="3" fillId="2" borderId="2" xfId="0" applyNumberFormat="1" applyFont="1" applyFill="1" applyBorder="1"/>
    <xf numFmtId="49" fontId="0" fillId="0" borderId="0" xfId="0" applyNumberFormat="1" applyAlignment="1"/>
    <xf numFmtId="0" fontId="0" fillId="0" borderId="0" xfId="0" applyAlignment="1">
      <alignment wrapText="1"/>
    </xf>
    <xf numFmtId="0" fontId="0" fillId="0" borderId="0" xfId="0" applyNumberFormat="1"/>
    <xf numFmtId="14" fontId="0" fillId="0" borderId="0" xfId="0" applyNumberFormat="1"/>
    <xf numFmtId="22" fontId="0" fillId="0" borderId="0" xfId="0" applyNumberFormat="1"/>
    <xf numFmtId="49" fontId="0" fillId="0" borderId="0" xfId="0" applyNumberFormat="1"/>
    <xf numFmtId="1" fontId="0" fillId="0" borderId="0" xfId="0" applyNumberFormat="1"/>
  </cellXfs>
  <cellStyles count="3">
    <cellStyle name="Normal" xfId="0" builtinId="0"/>
    <cellStyle name="Porcentagem" xfId="2" builtinId="5"/>
    <cellStyle name="Vírgula" xfId="1" builtinId="3"/>
  </cellStyles>
  <dxfs count="4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numFmt numFmtId="27" formatCode="dd/mm/yyyy\ hh:mm"/>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19" formatCode="dd/mm/yyyy"/>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numFmt numFmtId="27" formatCode="dd/mm/yyyy\ hh:mm"/>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19" formatCode="dd/mm/yyyy"/>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ixa.sharepoint.com/sites/Arquivos8101/Documentos%20Compartilhados/GELOF02%20-%20Log&#237;stica,%20Contrata&#231;&#245;es%20e%20Pessoas/2026/2.PESSOAS/RGD%20RVD%20Dirigentes/RVD%202026/Power%20B.I/Simulador%20RVD%202026.xlsm" TargetMode="External"/><Relationship Id="rId1" Type="http://schemas.openxmlformats.org/officeDocument/2006/relationships/externalLinkPath" Target="https://caixa.sharepoint.com/sites/Arquivos8101/Documentos%20Compartilhados/GELOF02%20-%20Log&#237;stica,%20Contrata&#231;&#245;es%20e%20Pessoas/2026/2.PESSOAS/RGD%20RVD%20Dirigentes/RVD%202026/Power%20B.I/Simulador%20RVD%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tregáveis"/>
      <sheetName val="DILOT"/>
      <sheetName val="DICOT"/>
      <sheetName val="DIFIR"/>
      <sheetName val="DICRI"/>
      <sheetName val="Bônus"/>
      <sheetName val="Aux"/>
      <sheetName val="DICOTbkp"/>
      <sheetName val="DIFIRbkp"/>
      <sheetName val="DICRIbkp"/>
      <sheetName val="Base"/>
    </sheetNames>
    <sheetDataSet>
      <sheetData sheetId="0" refreshError="1"/>
      <sheetData sheetId="1" refreshError="1"/>
      <sheetData sheetId="2" refreshError="1"/>
      <sheetData sheetId="3" refreshError="1"/>
      <sheetData sheetId="4" refreshError="1"/>
      <sheetData sheetId="5" refreshError="1"/>
      <sheetData sheetId="6" refreshError="1">
        <row r="29">
          <cell r="E29">
            <v>1</v>
          </cell>
          <cell r="F29">
            <v>1</v>
          </cell>
        </row>
        <row r="30">
          <cell r="E30">
            <v>0.99</v>
          </cell>
          <cell r="F30">
            <v>0.99</v>
          </cell>
        </row>
        <row r="31">
          <cell r="E31">
            <v>0.98</v>
          </cell>
          <cell r="F31">
            <v>0.98</v>
          </cell>
        </row>
        <row r="32">
          <cell r="E32">
            <v>0.97</v>
          </cell>
          <cell r="F32">
            <v>0.97</v>
          </cell>
        </row>
        <row r="33">
          <cell r="E33">
            <v>0.96</v>
          </cell>
          <cell r="F33">
            <v>0.96</v>
          </cell>
        </row>
        <row r="34">
          <cell r="E34">
            <v>0.95</v>
          </cell>
          <cell r="F34">
            <v>0.95</v>
          </cell>
        </row>
        <row r="35">
          <cell r="E35">
            <v>0.9</v>
          </cell>
          <cell r="F35">
            <v>0.75</v>
          </cell>
        </row>
        <row r="36">
          <cell r="E36">
            <v>0.8</v>
          </cell>
          <cell r="F36">
            <v>0.5</v>
          </cell>
        </row>
      </sheetData>
      <sheetData sheetId="7" refreshError="1"/>
      <sheetData sheetId="8" refreshError="1"/>
      <sheetData sheetId="9" refreshError="1"/>
      <sheetData sheetId="10"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__2_1" backgroundRefresh="0" connectionId="2" xr16:uid="{38120FD0-7519-431F-AC90-F90061ABDAC4}" autoFormatId="16" applyNumberFormats="0" applyBorderFormats="0" applyFontFormats="0" applyPatternFormats="0" applyAlignmentFormats="0" applyWidthHeightFormats="0">
  <queryTableRefresh nextId="23">
    <queryTableFields count="22">
      <queryTableField id="1" name="Title" tableColumnId="1"/>
      <queryTableField id="2" name="Plano" tableColumnId="2"/>
      <queryTableField id="3" name="Pilar Estratégico" tableColumnId="3"/>
      <queryTableField id="4" name="Formula" tableColumnId="4"/>
      <queryTableField id="5" name="Unidade Apuradora" tableColumnId="5"/>
      <queryTableField id="13" name="Diretoria Responsavel" tableColumnId="6"/>
      <queryTableField id="6" name="Meta 2026" tableColumnId="7"/>
      <queryTableField id="7" name="Meta Mensal" tableColumnId="8"/>
      <queryTableField id="17" name="Detalhes da Meta Mensal" tableColumnId="9"/>
      <queryTableField id="8" name="Mes_Referencia" tableColumnId="10"/>
      <queryTableField id="9" name="Realizado" tableColumnId="11"/>
      <queryTableField id="15" name="Atingido" tableColumnId="12"/>
      <queryTableField id="16" name="AtingidoAjustado" tableColumnId="13"/>
      <queryTableField id="10" name="Observacoes_/_Evidencias" tableColumnId="14"/>
      <queryTableField id="19" name="Modificado" tableColumnId="15"/>
      <queryTableField id="20" name="Modificado por" tableColumnId="16"/>
      <queryTableField id="11" name="Homologado Diretoria" tableColumnId="17"/>
      <queryTableField id="12" name="PrazoLimite" tableColumnId="18"/>
      <queryTableField id="14" name="Unidade de Medida" tableColumnId="19"/>
      <queryTableField id="18" name="ID" tableColumnId="20"/>
      <queryTableField id="22" name="Tipo de Item" tableColumnId="21"/>
      <queryTableField id="21" name="Caminho"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118F1AE2-27A9-4D99-A38D-6253F9C8FFB6}" autoFormatId="16" applyNumberFormats="0" applyBorderFormats="0" applyFontFormats="0" applyPatternFormats="0" applyAlignmentFormats="0" applyWidthHeightFormats="0">
  <queryTableRefresh nextId="23">
    <queryTableFields count="22">
      <queryTableField id="1" name="Title" tableColumnId="1"/>
      <queryTableField id="2" name="Plano" tableColumnId="2"/>
      <queryTableField id="3" name="Pilar Estratégico" tableColumnId="3"/>
      <queryTableField id="4" name="Formula" tableColumnId="4"/>
      <queryTableField id="5" name="Unidade Apuradora" tableColumnId="5"/>
      <queryTableField id="13" name="Diretoria Responsavel" tableColumnId="6"/>
      <queryTableField id="6" name="Meta 2026" tableColumnId="7"/>
      <queryTableField id="7" name="Meta Mensal" tableColumnId="8"/>
      <queryTableField id="17" name="Detalhes da Meta Mensal" tableColumnId="9"/>
      <queryTableField id="8" name="Mes_Referencia" tableColumnId="10"/>
      <queryTableField id="9" name="Realizado" tableColumnId="11"/>
      <queryTableField id="15" name="Atingido" tableColumnId="12"/>
      <queryTableField id="16" name="AtingidoAjustado" tableColumnId="13"/>
      <queryTableField id="10" name="Observacoes_/_Evidencias" tableColumnId="14"/>
      <queryTableField id="19" name="Modificado" tableColumnId="15"/>
      <queryTableField id="20" name="Modificado por" tableColumnId="16"/>
      <queryTableField id="11" name="Homologado Diretoria" tableColumnId="17"/>
      <queryTableField id="12" name="PrazoLimite" tableColumnId="18"/>
      <queryTableField id="14" name="Unidade de Medida" tableColumnId="19"/>
      <queryTableField id="18" name="ID" tableColumnId="20"/>
      <queryTableField id="22" name="Tipo de Item" tableColumnId="21"/>
      <queryTableField id="21" name="Caminho"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66E543-A10C-4FF8-877B-5CE68F50E7CF}" name="Tabela_query__2_1" displayName="Tabela_query__2_1" ref="A1:V278" tableType="queryTable" totalsRowShown="0">
  <autoFilter ref="A1:V278" xr:uid="{B266E543-A10C-4FF8-877B-5CE68F50E7CF}"/>
  <tableColumns count="22">
    <tableColumn id="1" xr3:uid="{09D9FEDF-1515-407E-9357-FCB659F9A3BB}" uniqueName="Title" name="Title" queryTableFieldId="1" dataDxfId="43"/>
    <tableColumn id="2" xr3:uid="{C80F29BF-FE43-4208-906D-BE693EDD2EDE}" uniqueName="field_0" name="Plano" queryTableFieldId="2" dataDxfId="42"/>
    <tableColumn id="3" xr3:uid="{1B3F8630-D51D-4BAC-B87A-CCE9BD8B9740}" uniqueName="field_1" name="Pilar Estratégico" queryTableFieldId="3" dataDxfId="41"/>
    <tableColumn id="4" xr3:uid="{54803CDC-5C9B-4272-AE7F-099354AA672F}" uniqueName="field_3" name="Formula" queryTableFieldId="4" dataDxfId="40"/>
    <tableColumn id="5" xr3:uid="{BEB5B536-D279-4A0E-B4EA-25FA1D4B3F7D}" uniqueName="field_4" name="Unidade Apuradora" queryTableFieldId="5" dataDxfId="39"/>
    <tableColumn id="6" xr3:uid="{8610A5B2-8E24-4DEE-A1CC-4FBCEB39C12E}" uniqueName="Diretoria_x005f_x0020_Responsavel" name="Diretoria Responsavel" queryTableFieldId="13" dataDxfId="38"/>
    <tableColumn id="7" xr3:uid="{B7224E74-81CC-4887-933C-40BA3A616420}" uniqueName="field_5" name="Meta 2026" queryTableFieldId="6" dataDxfId="37"/>
    <tableColumn id="8" xr3:uid="{D443088D-FCD3-4D55-B09B-9DA800B70CEF}" uniqueName="field_6" name="Meta Mensal" queryTableFieldId="7" dataDxfId="36"/>
    <tableColumn id="9" xr3:uid="{691D0506-400C-4434-B6FC-9E0B981A489D}" uniqueName="DetalhesdaMetaMensal" name="Detalhes da Meta Mensal" queryTableFieldId="17" dataDxfId="35"/>
    <tableColumn id="10" xr3:uid="{8771230B-B1DE-4E8C-8156-46B8C039A7C5}" uniqueName="field_7" name="Mes_Referencia" queryTableFieldId="8" dataDxfId="34"/>
    <tableColumn id="11" xr3:uid="{8D68C9BF-B2E3-4A91-9E5C-82739E3B888A}" uniqueName="field_9" name="Realizado" queryTableFieldId="9" dataDxfId="33"/>
    <tableColumn id="12" xr3:uid="{20FEC2AA-1AA7-439F-AF80-CF598296EC5E}" uniqueName="Atingido" name="Atingido" queryTableFieldId="15" dataDxfId="32"/>
    <tableColumn id="13" xr3:uid="{10A8403D-4490-40D3-B1AE-B526A82CE859}" uniqueName="AtingidoAjustado" name="AtingidoAjustado" queryTableFieldId="16" dataDxfId="31"/>
    <tableColumn id="14" xr3:uid="{F4EDB20D-AB69-4199-B2B1-003EC42830C0}" uniqueName="field_10" name="Observacoes_/_Evidencias" queryTableFieldId="10" dataDxfId="30"/>
    <tableColumn id="15" xr3:uid="{43F02056-479F-497C-B3B5-FDA001698E3E}" uniqueName="Modified" name="Modificado" queryTableFieldId="19" dataDxfId="29"/>
    <tableColumn id="16" xr3:uid="{89E0C463-DB20-4564-9A54-B5FE9D7CC7A5}" uniqueName="Editor" name="Modificado por" queryTableFieldId="20" dataDxfId="28"/>
    <tableColumn id="17" xr3:uid="{D02389A8-A165-4928-8B44-5ADB9746F306}" uniqueName="HomologadoDiretoria" name="Homologado Diretoria" queryTableFieldId="11" dataDxfId="27"/>
    <tableColumn id="18" xr3:uid="{F7AAE0D0-73C7-4846-BCDB-8504177AA377}" uniqueName="PrazoLimite" name="PrazoLimite" queryTableFieldId="12" dataDxfId="26"/>
    <tableColumn id="19" xr3:uid="{30DB607D-F867-4838-920D-F3FD1DCB1868}" uniqueName="UnidadedeMedida" name="Unidade de Medida" queryTableFieldId="14" dataDxfId="25"/>
    <tableColumn id="20" xr3:uid="{48A60E14-B68A-4AB3-A36E-0838160A33C4}" uniqueName="ID" name="ID" queryTableFieldId="18" dataDxfId="24"/>
    <tableColumn id="21" xr3:uid="{1688EB01-200B-4207-816D-08805CBDF3E5}" uniqueName="FSObjType" name="Tipo de Item" queryTableFieldId="22" dataDxfId="23"/>
    <tableColumn id="22" xr3:uid="{9C9E9275-33FC-4F9F-9097-A2A16FB5AE0C}" uniqueName="FileDirRef" name="Caminho" queryTableFieldId="21"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BC5748-F568-4319-83C6-E55F8D61C3F3}" name="Tabela_query__2" displayName="Tabela_query__2" ref="A1:V278" tableType="queryTable" totalsRowShown="0">
  <autoFilter ref="A1:V278" xr:uid="{8EBC5748-F568-4319-83C6-E55F8D61C3F3}">
    <filterColumn colId="0">
      <filters>
        <filter val="Incentivo Socioambiental"/>
      </filters>
    </filterColumn>
  </autoFilter>
  <tableColumns count="22">
    <tableColumn id="1" xr3:uid="{F53AB3E6-40DB-4163-AC53-A0F455277442}" uniqueName="Title" name="Title" queryTableFieldId="1" dataDxfId="21"/>
    <tableColumn id="2" xr3:uid="{B47C0F68-EF84-4E14-A122-CDC7A2A5E99B}" uniqueName="field_0" name="Plano" queryTableFieldId="2" dataDxfId="20"/>
    <tableColumn id="3" xr3:uid="{7F67CF62-3A23-4728-9114-84178DB20CDC}" uniqueName="field_1" name="Pilar Estratégico" queryTableFieldId="3" dataDxfId="19"/>
    <tableColumn id="4" xr3:uid="{27C34D76-FF38-42C2-99AF-FC379618FA36}" uniqueName="field_3" name="Formula" queryTableFieldId="4" dataDxfId="18"/>
    <tableColumn id="5" xr3:uid="{44788DC0-ADC0-40F5-A86B-25E61EF1A717}" uniqueName="field_4" name="Unidade Apuradora" queryTableFieldId="5" dataDxfId="17"/>
    <tableColumn id="6" xr3:uid="{B3A3231B-F6AF-453F-9B27-C3900FB6BE93}" uniqueName="Diretoria_x005f_x0020_Responsavel" name="Diretoria Responsavel" queryTableFieldId="13" dataDxfId="16"/>
    <tableColumn id="7" xr3:uid="{F81C109A-3117-4FD9-8AB1-A1BAA965F19D}" uniqueName="field_5" name="Meta 2026" queryTableFieldId="6" dataDxfId="15"/>
    <tableColumn id="8" xr3:uid="{FFB20A71-D02D-40BE-AE4C-D70060F50ECA}" uniqueName="field_6" name="Meta Mensal" queryTableFieldId="7" dataDxfId="14"/>
    <tableColumn id="9" xr3:uid="{DD0CBF3D-5047-48E9-A5D6-5CED3AE8DEFF}" uniqueName="DetalhesdaMetaMensal" name="Detalhes da Meta Mensal" queryTableFieldId="17" dataDxfId="13"/>
    <tableColumn id="10" xr3:uid="{C6B01FE9-38CC-4FD4-8CA6-56F4A39A1EA2}" uniqueName="field_7" name="Mes_Referencia" queryTableFieldId="8" dataDxfId="12"/>
    <tableColumn id="11" xr3:uid="{BE09D597-9949-4E36-8977-F9CA3BDF1D2E}" uniqueName="field_9" name="Realizado" queryTableFieldId="9" dataDxfId="11"/>
    <tableColumn id="12" xr3:uid="{F7F41AE0-92DD-4082-937D-2161C63CFC57}" uniqueName="Atingido" name="Atingido" queryTableFieldId="15" dataDxfId="10"/>
    <tableColumn id="13" xr3:uid="{F7908C07-258F-4C8D-8F01-9BB8B4A9C3C8}" uniqueName="AtingidoAjustado" name="AtingidoAjustado" queryTableFieldId="16" dataDxfId="9"/>
    <tableColumn id="14" xr3:uid="{2BFBCD7B-067A-4C97-9263-21CA9D52746C}" uniqueName="field_10" name="Observacoes_/_Evidencias" queryTableFieldId="10" dataDxfId="8"/>
    <tableColumn id="15" xr3:uid="{7A4E4050-27DC-4593-9E2D-F37B2D48823E}" uniqueName="Modified" name="Modificado" queryTableFieldId="19" dataDxfId="7"/>
    <tableColumn id="16" xr3:uid="{D02D6B0C-11F6-46A3-983B-02E194C38BB6}" uniqueName="Editor" name="Modificado por" queryTableFieldId="20" dataDxfId="6"/>
    <tableColumn id="17" xr3:uid="{026B124D-B713-4DC4-9961-E06EFCF97FED}" uniqueName="HomologadoDiretoria" name="Homologado Diretoria" queryTableFieldId="11" dataDxfId="5"/>
    <tableColumn id="18" xr3:uid="{D1095085-E6B0-432B-BC27-F6FAEF707BFE}" uniqueName="PrazoLimite" name="PrazoLimite" queryTableFieldId="12" dataDxfId="4"/>
    <tableColumn id="19" xr3:uid="{D71FDDE7-AFA9-4360-8535-D22ABB18C53C}" uniqueName="UnidadedeMedida" name="Unidade de Medida" queryTableFieldId="14" dataDxfId="3"/>
    <tableColumn id="20" xr3:uid="{0D6512CF-FA49-4191-BAD4-98B7F6F54AAF}" uniqueName="ID" name="ID" queryTableFieldId="18" dataDxfId="2"/>
    <tableColumn id="21" xr3:uid="{DA7F8DB1-BD8A-45BF-8AF7-A5EC955E80D1}" uniqueName="FSObjType" name="Tipo de Item" queryTableFieldId="22" dataDxfId="1"/>
    <tableColumn id="22" xr3:uid="{B417D443-544B-446A-9358-7509267BFCD3}" uniqueName="FileDirRef" name="Caminho" queryTableFieldId="21"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1FA8-1989-45B7-8661-98E71671AECF}">
  <dimension ref="A1:V278"/>
  <sheetViews>
    <sheetView workbookViewId="0">
      <selection sqref="A1:V278"/>
    </sheetView>
  </sheetViews>
  <sheetFormatPr defaultRowHeight="15" x14ac:dyDescent="0.25"/>
  <cols>
    <col min="1" max="1" width="80.7109375" bestFit="1" customWidth="1"/>
    <col min="2" max="2" width="27.140625" bestFit="1" customWidth="1"/>
    <col min="3" max="3" width="24.5703125" bestFit="1" customWidth="1"/>
    <col min="4" max="4" width="80.7109375" bestFit="1" customWidth="1"/>
    <col min="5" max="5" width="19.42578125" bestFit="1" customWidth="1"/>
    <col min="6" max="6" width="21.5703125" bestFit="1" customWidth="1"/>
    <col min="7" max="7" width="59.5703125" bestFit="1" customWidth="1"/>
    <col min="8" max="8" width="13.5703125" bestFit="1" customWidth="1"/>
    <col min="9" max="9" width="24.140625" bestFit="1" customWidth="1"/>
    <col min="10" max="10" width="16.42578125" bestFit="1" customWidth="1"/>
    <col min="11" max="12" width="11.85546875" bestFit="1" customWidth="1"/>
    <col min="13" max="13" width="17.42578125" bestFit="1" customWidth="1"/>
    <col min="14" max="14" width="80.7109375" bestFit="1" customWidth="1"/>
    <col min="15" max="15" width="15.140625" bestFit="1" customWidth="1"/>
    <col min="16" max="16" width="26.42578125" bestFit="1" customWidth="1"/>
    <col min="17" max="17" width="21.42578125" bestFit="1" customWidth="1"/>
    <col min="18" max="18" width="12.85546875" bestFit="1" customWidth="1"/>
    <col min="19" max="19" width="19.42578125" bestFit="1" customWidth="1"/>
    <col min="20" max="20" width="4.85546875" bestFit="1" customWidth="1"/>
    <col min="21" max="21" width="13.28515625" bestFit="1" customWidth="1"/>
    <col min="22" max="22" width="31.5703125" bestFit="1" customWidth="1"/>
  </cols>
  <sheetData>
    <row r="1" spans="1:22" x14ac:dyDescent="0.25">
      <c r="A1" t="s">
        <v>44</v>
      </c>
      <c r="B1" t="s">
        <v>45</v>
      </c>
      <c r="C1" t="s">
        <v>46</v>
      </c>
      <c r="D1" t="s">
        <v>47</v>
      </c>
      <c r="E1" t="s">
        <v>48</v>
      </c>
      <c r="F1" t="s">
        <v>55</v>
      </c>
      <c r="G1" t="s">
        <v>49</v>
      </c>
      <c r="H1" t="s">
        <v>50</v>
      </c>
      <c r="I1" t="s">
        <v>57</v>
      </c>
      <c r="J1" t="s">
        <v>51</v>
      </c>
      <c r="K1" t="s">
        <v>5</v>
      </c>
      <c r="L1" t="s">
        <v>6</v>
      </c>
      <c r="M1" t="s">
        <v>56</v>
      </c>
      <c r="N1" t="s">
        <v>52</v>
      </c>
      <c r="O1" t="s">
        <v>59</v>
      </c>
      <c r="P1" t="s">
        <v>60</v>
      </c>
      <c r="Q1" t="s">
        <v>53</v>
      </c>
      <c r="R1" t="s">
        <v>54</v>
      </c>
      <c r="S1" t="s">
        <v>11</v>
      </c>
      <c r="T1" t="s">
        <v>58</v>
      </c>
      <c r="U1" t="s">
        <v>62</v>
      </c>
      <c r="V1" t="s">
        <v>61</v>
      </c>
    </row>
    <row r="2" spans="1:22" ht="135" x14ac:dyDescent="0.25">
      <c r="A2" s="30" t="s">
        <v>63</v>
      </c>
      <c r="B2" s="30" t="s">
        <v>64</v>
      </c>
      <c r="C2" s="30" t="s">
        <v>65</v>
      </c>
      <c r="D2" s="31" t="s">
        <v>66</v>
      </c>
      <c r="E2" s="30" t="s">
        <v>67</v>
      </c>
      <c r="F2" s="30" t="s">
        <v>18</v>
      </c>
      <c r="G2" s="31" t="s">
        <v>68</v>
      </c>
      <c r="H2" s="32">
        <v>0.1</v>
      </c>
      <c r="I2" s="31" t="s">
        <v>71</v>
      </c>
      <c r="J2" s="33">
        <v>46023</v>
      </c>
      <c r="K2" s="32">
        <v>0.25669999999999998</v>
      </c>
      <c r="L2" s="32">
        <v>2.5670000000000002</v>
      </c>
      <c r="M2" s="32">
        <v>1</v>
      </c>
      <c r="N2" s="31" t="s">
        <v>69</v>
      </c>
      <c r="O2" s="34">
        <v>46135.788055555553</v>
      </c>
      <c r="P2" s="35" t="s">
        <v>72</v>
      </c>
      <c r="Q2" s="35" t="s">
        <v>70</v>
      </c>
      <c r="R2" s="33">
        <v>46063</v>
      </c>
      <c r="S2" s="30" t="s">
        <v>21</v>
      </c>
      <c r="T2" s="36">
        <v>1</v>
      </c>
      <c r="U2" s="30" t="s">
        <v>74</v>
      </c>
      <c r="V2" s="30" t="s">
        <v>73</v>
      </c>
    </row>
    <row r="3" spans="1:22" ht="120" x14ac:dyDescent="0.25">
      <c r="A3" s="30" t="s">
        <v>63</v>
      </c>
      <c r="B3" s="30" t="s">
        <v>64</v>
      </c>
      <c r="C3" s="30" t="s">
        <v>65</v>
      </c>
      <c r="D3" s="31" t="s">
        <v>66</v>
      </c>
      <c r="E3" s="30" t="s">
        <v>67</v>
      </c>
      <c r="F3" s="30" t="s">
        <v>18</v>
      </c>
      <c r="G3" s="31" t="s">
        <v>68</v>
      </c>
      <c r="H3" s="32">
        <v>0.1</v>
      </c>
      <c r="I3" s="31"/>
      <c r="J3" s="33">
        <v>46054</v>
      </c>
      <c r="K3" s="32">
        <v>0.2094</v>
      </c>
      <c r="L3" s="32">
        <v>2.0939999999999999</v>
      </c>
      <c r="M3" s="32">
        <v>1</v>
      </c>
      <c r="N3" s="31" t="s">
        <v>75</v>
      </c>
      <c r="O3" s="34">
        <v>46132.786770833336</v>
      </c>
      <c r="P3" s="35" t="s">
        <v>76</v>
      </c>
      <c r="Q3" s="35" t="s">
        <v>70</v>
      </c>
      <c r="R3" s="33">
        <v>46094</v>
      </c>
      <c r="S3" s="30" t="s">
        <v>21</v>
      </c>
      <c r="T3" s="36">
        <v>2</v>
      </c>
      <c r="U3" s="30" t="s">
        <v>74</v>
      </c>
      <c r="V3" s="30" t="s">
        <v>73</v>
      </c>
    </row>
    <row r="4" spans="1:22" ht="135" x14ac:dyDescent="0.25">
      <c r="A4" s="30" t="s">
        <v>63</v>
      </c>
      <c r="B4" s="30" t="s">
        <v>64</v>
      </c>
      <c r="C4" s="30" t="s">
        <v>65</v>
      </c>
      <c r="D4" s="31" t="s">
        <v>66</v>
      </c>
      <c r="E4" s="30" t="s">
        <v>67</v>
      </c>
      <c r="F4" s="30" t="s">
        <v>18</v>
      </c>
      <c r="G4" s="31" t="s">
        <v>68</v>
      </c>
      <c r="H4" s="32">
        <v>0.1</v>
      </c>
      <c r="I4" s="31"/>
      <c r="J4" s="33">
        <v>46082</v>
      </c>
      <c r="K4" s="32">
        <v>0.23019999999999999</v>
      </c>
      <c r="L4" s="32">
        <v>2.302</v>
      </c>
      <c r="M4" s="32">
        <v>1</v>
      </c>
      <c r="N4" s="31" t="s">
        <v>77</v>
      </c>
      <c r="O4" s="34">
        <v>46132.787118055552</v>
      </c>
      <c r="P4" s="35" t="s">
        <v>76</v>
      </c>
      <c r="Q4" s="35" t="s">
        <v>70</v>
      </c>
      <c r="R4" s="33">
        <v>46122</v>
      </c>
      <c r="S4" s="30" t="s">
        <v>21</v>
      </c>
      <c r="T4" s="36">
        <v>3</v>
      </c>
      <c r="U4" s="30" t="s">
        <v>74</v>
      </c>
      <c r="V4" s="30" t="s">
        <v>73</v>
      </c>
    </row>
    <row r="5" spans="1:22" ht="75" x14ac:dyDescent="0.25">
      <c r="A5" s="30" t="s">
        <v>63</v>
      </c>
      <c r="B5" s="30" t="s">
        <v>64</v>
      </c>
      <c r="C5" s="30" t="s">
        <v>65</v>
      </c>
      <c r="D5" s="31" t="s">
        <v>66</v>
      </c>
      <c r="E5" s="30" t="s">
        <v>67</v>
      </c>
      <c r="F5" s="30" t="s">
        <v>18</v>
      </c>
      <c r="G5" s="31" t="s">
        <v>68</v>
      </c>
      <c r="H5" s="32">
        <v>0.1</v>
      </c>
      <c r="I5" s="31"/>
      <c r="J5" s="33">
        <v>46113</v>
      </c>
      <c r="K5" s="32">
        <v>0.46870000000000001</v>
      </c>
      <c r="L5" s="32">
        <v>4.6870000000000003</v>
      </c>
      <c r="M5" s="32">
        <v>1</v>
      </c>
      <c r="N5" s="31" t="s">
        <v>78</v>
      </c>
      <c r="O5" s="34">
        <v>46219.824050925927</v>
      </c>
      <c r="P5" s="35" t="s">
        <v>76</v>
      </c>
      <c r="Q5" s="35" t="s">
        <v>79</v>
      </c>
      <c r="R5" s="33">
        <v>46153</v>
      </c>
      <c r="S5" s="30" t="s">
        <v>21</v>
      </c>
      <c r="T5" s="36">
        <v>4</v>
      </c>
      <c r="U5" s="30" t="s">
        <v>74</v>
      </c>
      <c r="V5" s="30" t="s">
        <v>73</v>
      </c>
    </row>
    <row r="6" spans="1:22" ht="75" x14ac:dyDescent="0.25">
      <c r="A6" s="30" t="s">
        <v>63</v>
      </c>
      <c r="B6" s="30" t="s">
        <v>64</v>
      </c>
      <c r="C6" s="30" t="s">
        <v>65</v>
      </c>
      <c r="D6" s="31" t="s">
        <v>66</v>
      </c>
      <c r="E6" s="30" t="s">
        <v>67</v>
      </c>
      <c r="F6" s="30" t="s">
        <v>18</v>
      </c>
      <c r="G6" s="31" t="s">
        <v>68</v>
      </c>
      <c r="H6" s="32">
        <v>0.1</v>
      </c>
      <c r="I6" s="31"/>
      <c r="J6" s="33">
        <v>46143</v>
      </c>
      <c r="K6" s="32">
        <v>0.28079999999999999</v>
      </c>
      <c r="L6" s="32">
        <v>2.8079999999999998</v>
      </c>
      <c r="M6" s="32">
        <v>1</v>
      </c>
      <c r="N6" s="31" t="s">
        <v>78</v>
      </c>
      <c r="O6" s="34">
        <v>46219.823622685188</v>
      </c>
      <c r="P6" s="35" t="s">
        <v>76</v>
      </c>
      <c r="Q6" s="35" t="s">
        <v>79</v>
      </c>
      <c r="R6" s="33">
        <v>46183</v>
      </c>
      <c r="S6" s="30" t="s">
        <v>21</v>
      </c>
      <c r="T6" s="36">
        <v>5</v>
      </c>
      <c r="U6" s="30" t="s">
        <v>74</v>
      </c>
      <c r="V6" s="30" t="s">
        <v>73</v>
      </c>
    </row>
    <row r="7" spans="1:22" ht="105" x14ac:dyDescent="0.25">
      <c r="A7" s="30" t="s">
        <v>63</v>
      </c>
      <c r="B7" s="30" t="s">
        <v>64</v>
      </c>
      <c r="C7" s="30" t="s">
        <v>65</v>
      </c>
      <c r="D7" s="31" t="s">
        <v>66</v>
      </c>
      <c r="E7" s="30" t="s">
        <v>67</v>
      </c>
      <c r="F7" s="30" t="s">
        <v>18</v>
      </c>
      <c r="G7" s="31" t="s">
        <v>68</v>
      </c>
      <c r="H7" s="32">
        <v>0.1</v>
      </c>
      <c r="I7" s="31"/>
      <c r="J7" s="33">
        <v>46174</v>
      </c>
      <c r="K7" s="32">
        <v>0.78580000000000005</v>
      </c>
      <c r="L7" s="32">
        <v>7.8579999999999997</v>
      </c>
      <c r="M7" s="32">
        <v>1</v>
      </c>
      <c r="N7" s="31" t="s">
        <v>80</v>
      </c>
      <c r="O7" s="34">
        <v>46219.82472222222</v>
      </c>
      <c r="P7" s="35" t="s">
        <v>76</v>
      </c>
      <c r="Q7" s="35" t="s">
        <v>79</v>
      </c>
      <c r="R7" s="33">
        <v>46214</v>
      </c>
      <c r="S7" s="30" t="s">
        <v>21</v>
      </c>
      <c r="T7" s="36">
        <v>6</v>
      </c>
      <c r="U7" s="30" t="s">
        <v>74</v>
      </c>
      <c r="V7" s="30" t="s">
        <v>73</v>
      </c>
    </row>
    <row r="8" spans="1:22" ht="30" x14ac:dyDescent="0.25">
      <c r="A8" s="30" t="s">
        <v>63</v>
      </c>
      <c r="B8" s="30" t="s">
        <v>64</v>
      </c>
      <c r="C8" s="30" t="s">
        <v>65</v>
      </c>
      <c r="D8" s="31" t="s">
        <v>66</v>
      </c>
      <c r="E8" s="30" t="s">
        <v>67</v>
      </c>
      <c r="F8" s="30" t="s">
        <v>18</v>
      </c>
      <c r="G8" s="31" t="s">
        <v>68</v>
      </c>
      <c r="H8" s="32">
        <v>0.1</v>
      </c>
      <c r="I8" s="31"/>
      <c r="J8" s="33">
        <v>46204</v>
      </c>
      <c r="K8" s="32">
        <v>0</v>
      </c>
      <c r="L8" s="32"/>
      <c r="M8" s="32">
        <v>0</v>
      </c>
      <c r="N8" s="31"/>
      <c r="O8" s="34">
        <v>46104.645613425928</v>
      </c>
      <c r="P8" s="35" t="s">
        <v>72</v>
      </c>
      <c r="Q8" s="35" t="s">
        <v>79</v>
      </c>
      <c r="R8" s="33">
        <v>46244</v>
      </c>
      <c r="S8" s="30" t="s">
        <v>21</v>
      </c>
      <c r="T8" s="36">
        <v>7</v>
      </c>
      <c r="U8" s="30" t="s">
        <v>74</v>
      </c>
      <c r="V8" s="30" t="s">
        <v>73</v>
      </c>
    </row>
    <row r="9" spans="1:22" ht="30" x14ac:dyDescent="0.25">
      <c r="A9" s="30" t="s">
        <v>63</v>
      </c>
      <c r="B9" s="30" t="s">
        <v>64</v>
      </c>
      <c r="C9" s="30" t="s">
        <v>65</v>
      </c>
      <c r="D9" s="31" t="s">
        <v>66</v>
      </c>
      <c r="E9" s="30" t="s">
        <v>67</v>
      </c>
      <c r="F9" s="30" t="s">
        <v>18</v>
      </c>
      <c r="G9" s="31" t="s">
        <v>68</v>
      </c>
      <c r="H9" s="32">
        <v>0.1</v>
      </c>
      <c r="I9" s="31"/>
      <c r="J9" s="33">
        <v>46235</v>
      </c>
      <c r="K9" s="32">
        <v>0</v>
      </c>
      <c r="L9" s="32"/>
      <c r="M9" s="32">
        <v>0</v>
      </c>
      <c r="N9" s="31"/>
      <c r="O9" s="34">
        <v>46104.64565972222</v>
      </c>
      <c r="P9" s="35" t="s">
        <v>72</v>
      </c>
      <c r="Q9" s="35" t="s">
        <v>79</v>
      </c>
      <c r="R9" s="33">
        <v>46275</v>
      </c>
      <c r="S9" s="30" t="s">
        <v>21</v>
      </c>
      <c r="T9" s="36">
        <v>8</v>
      </c>
      <c r="U9" s="30" t="s">
        <v>74</v>
      </c>
      <c r="V9" s="30" t="s">
        <v>73</v>
      </c>
    </row>
    <row r="10" spans="1:22" ht="30" x14ac:dyDescent="0.25">
      <c r="A10" s="30" t="s">
        <v>63</v>
      </c>
      <c r="B10" s="30" t="s">
        <v>64</v>
      </c>
      <c r="C10" s="30" t="s">
        <v>65</v>
      </c>
      <c r="D10" s="31" t="s">
        <v>66</v>
      </c>
      <c r="E10" s="30" t="s">
        <v>67</v>
      </c>
      <c r="F10" s="30" t="s">
        <v>18</v>
      </c>
      <c r="G10" s="31" t="s">
        <v>68</v>
      </c>
      <c r="H10" s="32">
        <v>0.1</v>
      </c>
      <c r="I10" s="31"/>
      <c r="J10" s="33">
        <v>46266</v>
      </c>
      <c r="K10" s="32">
        <v>0</v>
      </c>
      <c r="L10" s="32"/>
      <c r="M10" s="32">
        <v>0</v>
      </c>
      <c r="N10" s="31"/>
      <c r="O10" s="34">
        <v>46104.64565972222</v>
      </c>
      <c r="P10" s="35" t="s">
        <v>72</v>
      </c>
      <c r="Q10" s="35" t="s">
        <v>79</v>
      </c>
      <c r="R10" s="33">
        <v>46306</v>
      </c>
      <c r="S10" s="30" t="s">
        <v>21</v>
      </c>
      <c r="T10" s="36">
        <v>9</v>
      </c>
      <c r="U10" s="30" t="s">
        <v>74</v>
      </c>
      <c r="V10" s="30" t="s">
        <v>73</v>
      </c>
    </row>
    <row r="11" spans="1:22" ht="30" x14ac:dyDescent="0.25">
      <c r="A11" s="30" t="s">
        <v>63</v>
      </c>
      <c r="B11" s="30" t="s">
        <v>64</v>
      </c>
      <c r="C11" s="30" t="s">
        <v>65</v>
      </c>
      <c r="D11" s="31" t="s">
        <v>66</v>
      </c>
      <c r="E11" s="30" t="s">
        <v>67</v>
      </c>
      <c r="F11" s="30" t="s">
        <v>18</v>
      </c>
      <c r="G11" s="31" t="s">
        <v>68</v>
      </c>
      <c r="H11" s="32">
        <v>0.1</v>
      </c>
      <c r="I11" s="31"/>
      <c r="J11" s="33">
        <v>46296</v>
      </c>
      <c r="K11" s="32">
        <v>0</v>
      </c>
      <c r="L11" s="32"/>
      <c r="M11" s="32">
        <v>0</v>
      </c>
      <c r="N11" s="31"/>
      <c r="O11" s="34">
        <v>46104.64565972222</v>
      </c>
      <c r="P11" s="35" t="s">
        <v>72</v>
      </c>
      <c r="Q11" s="35" t="s">
        <v>79</v>
      </c>
      <c r="R11" s="33">
        <v>46336</v>
      </c>
      <c r="S11" s="30" t="s">
        <v>21</v>
      </c>
      <c r="T11" s="36">
        <v>10</v>
      </c>
      <c r="U11" s="30" t="s">
        <v>74</v>
      </c>
      <c r="V11" s="30" t="s">
        <v>73</v>
      </c>
    </row>
    <row r="12" spans="1:22" ht="30" x14ac:dyDescent="0.25">
      <c r="A12" s="30" t="s">
        <v>63</v>
      </c>
      <c r="B12" s="30" t="s">
        <v>64</v>
      </c>
      <c r="C12" s="30" t="s">
        <v>65</v>
      </c>
      <c r="D12" s="31" t="s">
        <v>66</v>
      </c>
      <c r="E12" s="30" t="s">
        <v>67</v>
      </c>
      <c r="F12" s="30" t="s">
        <v>18</v>
      </c>
      <c r="G12" s="31" t="s">
        <v>68</v>
      </c>
      <c r="H12" s="32">
        <v>0.1</v>
      </c>
      <c r="I12" s="31"/>
      <c r="J12" s="33">
        <v>46327</v>
      </c>
      <c r="K12" s="32">
        <v>0</v>
      </c>
      <c r="L12" s="32"/>
      <c r="M12" s="32">
        <v>0</v>
      </c>
      <c r="N12" s="31"/>
      <c r="O12" s="34">
        <v>46104.64565972222</v>
      </c>
      <c r="P12" s="35" t="s">
        <v>72</v>
      </c>
      <c r="Q12" s="35" t="s">
        <v>79</v>
      </c>
      <c r="R12" s="33">
        <v>46367</v>
      </c>
      <c r="S12" s="30" t="s">
        <v>21</v>
      </c>
      <c r="T12" s="36">
        <v>11</v>
      </c>
      <c r="U12" s="30" t="s">
        <v>74</v>
      </c>
      <c r="V12" s="30" t="s">
        <v>73</v>
      </c>
    </row>
    <row r="13" spans="1:22" ht="30" x14ac:dyDescent="0.25">
      <c r="A13" s="30" t="s">
        <v>63</v>
      </c>
      <c r="B13" s="30" t="s">
        <v>64</v>
      </c>
      <c r="C13" s="30" t="s">
        <v>65</v>
      </c>
      <c r="D13" s="31" t="s">
        <v>66</v>
      </c>
      <c r="E13" s="30" t="s">
        <v>67</v>
      </c>
      <c r="F13" s="30" t="s">
        <v>18</v>
      </c>
      <c r="G13" s="31" t="s">
        <v>68</v>
      </c>
      <c r="H13" s="32">
        <v>0.1</v>
      </c>
      <c r="I13" s="31"/>
      <c r="J13" s="33">
        <v>46357</v>
      </c>
      <c r="K13" s="32">
        <v>0</v>
      </c>
      <c r="L13" s="32"/>
      <c r="M13" s="32">
        <v>0</v>
      </c>
      <c r="N13" s="31"/>
      <c r="O13" s="34">
        <v>46104.645682870374</v>
      </c>
      <c r="P13" s="35" t="s">
        <v>72</v>
      </c>
      <c r="Q13" s="35" t="s">
        <v>79</v>
      </c>
      <c r="R13" s="33">
        <v>46397</v>
      </c>
      <c r="S13" s="30" t="s">
        <v>21</v>
      </c>
      <c r="T13" s="36">
        <v>12</v>
      </c>
      <c r="U13" s="30" t="s">
        <v>74</v>
      </c>
      <c r="V13" s="30" t="s">
        <v>73</v>
      </c>
    </row>
    <row r="14" spans="1:22" ht="150" x14ac:dyDescent="0.25">
      <c r="A14" s="30" t="s">
        <v>81</v>
      </c>
      <c r="B14" s="30" t="s">
        <v>64</v>
      </c>
      <c r="C14" s="30" t="s">
        <v>65</v>
      </c>
      <c r="D14" s="31" t="s">
        <v>82</v>
      </c>
      <c r="E14" s="30" t="s">
        <v>67</v>
      </c>
      <c r="F14" s="30" t="s">
        <v>18</v>
      </c>
      <c r="G14" s="31" t="s">
        <v>83</v>
      </c>
      <c r="H14" s="32">
        <v>58</v>
      </c>
      <c r="I14" s="31"/>
      <c r="J14" s="33">
        <v>46023</v>
      </c>
      <c r="K14" s="32">
        <v>55</v>
      </c>
      <c r="L14" s="32">
        <v>0.94827586206896597</v>
      </c>
      <c r="M14" s="32">
        <v>0.94827586206896597</v>
      </c>
      <c r="N14" s="31" t="s">
        <v>84</v>
      </c>
      <c r="O14" s="34">
        <v>46132.796423611115</v>
      </c>
      <c r="P14" s="35" t="s">
        <v>76</v>
      </c>
      <c r="Q14" s="35" t="s">
        <v>70</v>
      </c>
      <c r="R14" s="33">
        <v>46063</v>
      </c>
      <c r="S14" s="30" t="s">
        <v>85</v>
      </c>
      <c r="T14" s="36">
        <v>13</v>
      </c>
      <c r="U14" s="30" t="s">
        <v>74</v>
      </c>
      <c r="V14" s="30" t="s">
        <v>73</v>
      </c>
    </row>
    <row r="15" spans="1:22" ht="150" x14ac:dyDescent="0.25">
      <c r="A15" s="30" t="s">
        <v>81</v>
      </c>
      <c r="B15" s="30" t="s">
        <v>64</v>
      </c>
      <c r="C15" s="30" t="s">
        <v>65</v>
      </c>
      <c r="D15" s="31" t="s">
        <v>82</v>
      </c>
      <c r="E15" s="30" t="s">
        <v>67</v>
      </c>
      <c r="F15" s="30" t="s">
        <v>18</v>
      </c>
      <c r="G15" s="31" t="s">
        <v>83</v>
      </c>
      <c r="H15" s="32">
        <v>58</v>
      </c>
      <c r="I15" s="31"/>
      <c r="J15" s="33">
        <v>46054</v>
      </c>
      <c r="K15" s="32">
        <v>55</v>
      </c>
      <c r="L15" s="32">
        <v>0.94827586206896597</v>
      </c>
      <c r="M15" s="32">
        <v>0.94827586206896597</v>
      </c>
      <c r="N15" s="31" t="s">
        <v>84</v>
      </c>
      <c r="O15" s="34">
        <v>46132.7968287037</v>
      </c>
      <c r="P15" s="35" t="s">
        <v>76</v>
      </c>
      <c r="Q15" s="35" t="s">
        <v>70</v>
      </c>
      <c r="R15" s="33">
        <v>46094</v>
      </c>
      <c r="S15" s="30" t="s">
        <v>85</v>
      </c>
      <c r="T15" s="36">
        <v>14</v>
      </c>
      <c r="U15" s="30" t="s">
        <v>74</v>
      </c>
      <c r="V15" s="30" t="s">
        <v>73</v>
      </c>
    </row>
    <row r="16" spans="1:22" ht="225" x14ac:dyDescent="0.25">
      <c r="A16" s="30" t="s">
        <v>81</v>
      </c>
      <c r="B16" s="30" t="s">
        <v>64</v>
      </c>
      <c r="C16" s="30" t="s">
        <v>65</v>
      </c>
      <c r="D16" s="31" t="s">
        <v>82</v>
      </c>
      <c r="E16" s="30" t="s">
        <v>67</v>
      </c>
      <c r="F16" s="30" t="s">
        <v>18</v>
      </c>
      <c r="G16" s="31" t="s">
        <v>83</v>
      </c>
      <c r="H16" s="32">
        <v>58</v>
      </c>
      <c r="I16" s="31"/>
      <c r="J16" s="33">
        <v>46082</v>
      </c>
      <c r="K16" s="32">
        <v>55</v>
      </c>
      <c r="L16" s="32">
        <v>0.94830000000000003</v>
      </c>
      <c r="M16" s="32">
        <v>0.94830000000000003</v>
      </c>
      <c r="N16" s="31" t="s">
        <v>86</v>
      </c>
      <c r="O16" s="34">
        <v>46129.694062499999</v>
      </c>
      <c r="P16" s="35" t="s">
        <v>87</v>
      </c>
      <c r="Q16" s="35" t="s">
        <v>70</v>
      </c>
      <c r="R16" s="33">
        <v>46122</v>
      </c>
      <c r="S16" s="30" t="s">
        <v>85</v>
      </c>
      <c r="T16" s="36">
        <v>15</v>
      </c>
      <c r="U16" s="30" t="s">
        <v>74</v>
      </c>
      <c r="V16" s="30" t="s">
        <v>73</v>
      </c>
    </row>
    <row r="17" spans="1:22" ht="195" x14ac:dyDescent="0.25">
      <c r="A17" s="30" t="s">
        <v>81</v>
      </c>
      <c r="B17" s="30" t="s">
        <v>64</v>
      </c>
      <c r="C17" s="30" t="s">
        <v>65</v>
      </c>
      <c r="D17" s="31" t="s">
        <v>82</v>
      </c>
      <c r="E17" s="30" t="s">
        <v>67</v>
      </c>
      <c r="F17" s="30" t="s">
        <v>18</v>
      </c>
      <c r="G17" s="31" t="s">
        <v>83</v>
      </c>
      <c r="H17" s="32">
        <v>58.33</v>
      </c>
      <c r="I17" s="31"/>
      <c r="J17" s="33">
        <v>46113</v>
      </c>
      <c r="K17" s="32">
        <v>0</v>
      </c>
      <c r="L17" s="32">
        <v>0</v>
      </c>
      <c r="M17" s="32">
        <v>0</v>
      </c>
      <c r="N17" s="31" t="s">
        <v>88</v>
      </c>
      <c r="O17" s="34">
        <v>46219.826319444444</v>
      </c>
      <c r="P17" s="35" t="s">
        <v>76</v>
      </c>
      <c r="Q17" s="35" t="s">
        <v>79</v>
      </c>
      <c r="R17" s="33">
        <v>46153</v>
      </c>
      <c r="S17" s="30" t="s">
        <v>85</v>
      </c>
      <c r="T17" s="36">
        <v>16</v>
      </c>
      <c r="U17" s="30" t="s">
        <v>74</v>
      </c>
      <c r="V17" s="30" t="s">
        <v>73</v>
      </c>
    </row>
    <row r="18" spans="1:22" ht="195" x14ac:dyDescent="0.25">
      <c r="A18" s="30" t="s">
        <v>81</v>
      </c>
      <c r="B18" s="30" t="s">
        <v>64</v>
      </c>
      <c r="C18" s="30" t="s">
        <v>65</v>
      </c>
      <c r="D18" s="31" t="s">
        <v>82</v>
      </c>
      <c r="E18" s="30" t="s">
        <v>67</v>
      </c>
      <c r="F18" s="30" t="s">
        <v>18</v>
      </c>
      <c r="G18" s="31" t="s">
        <v>83</v>
      </c>
      <c r="H18" s="32">
        <v>58.54</v>
      </c>
      <c r="I18" s="31"/>
      <c r="J18" s="33">
        <v>46143</v>
      </c>
      <c r="K18" s="32">
        <v>0</v>
      </c>
      <c r="L18" s="32">
        <v>0</v>
      </c>
      <c r="M18" s="32">
        <v>0</v>
      </c>
      <c r="N18" s="31" t="s">
        <v>88</v>
      </c>
      <c r="O18" s="34">
        <v>46219.82707175926</v>
      </c>
      <c r="P18" s="35" t="s">
        <v>76</v>
      </c>
      <c r="Q18" s="35" t="s">
        <v>79</v>
      </c>
      <c r="R18" s="33">
        <v>46183</v>
      </c>
      <c r="S18" s="30" t="s">
        <v>85</v>
      </c>
      <c r="T18" s="36">
        <v>17</v>
      </c>
      <c r="U18" s="30" t="s">
        <v>74</v>
      </c>
      <c r="V18" s="30" t="s">
        <v>73</v>
      </c>
    </row>
    <row r="19" spans="1:22" ht="45" x14ac:dyDescent="0.25">
      <c r="A19" s="30" t="s">
        <v>81</v>
      </c>
      <c r="B19" s="30" t="s">
        <v>64</v>
      </c>
      <c r="C19" s="30" t="s">
        <v>65</v>
      </c>
      <c r="D19" s="31" t="s">
        <v>82</v>
      </c>
      <c r="E19" s="30" t="s">
        <v>67</v>
      </c>
      <c r="F19" s="30" t="s">
        <v>18</v>
      </c>
      <c r="G19" s="31" t="s">
        <v>83</v>
      </c>
      <c r="H19" s="32">
        <v>58.75</v>
      </c>
      <c r="I19" s="31"/>
      <c r="J19" s="33">
        <v>46174</v>
      </c>
      <c r="K19" s="32">
        <v>59.2</v>
      </c>
      <c r="L19" s="32">
        <v>1.0076595744680901</v>
      </c>
      <c r="M19" s="32">
        <v>1</v>
      </c>
      <c r="N19" s="31" t="s">
        <v>89</v>
      </c>
      <c r="O19" s="34">
        <v>46220.812708333331</v>
      </c>
      <c r="P19" s="35" t="s">
        <v>76</v>
      </c>
      <c r="Q19" s="35" t="s">
        <v>79</v>
      </c>
      <c r="R19" s="33">
        <v>46214</v>
      </c>
      <c r="S19" s="30" t="s">
        <v>85</v>
      </c>
      <c r="T19" s="36">
        <v>18</v>
      </c>
      <c r="U19" s="30" t="s">
        <v>74</v>
      </c>
      <c r="V19" s="30" t="s">
        <v>73</v>
      </c>
    </row>
    <row r="20" spans="1:22" x14ac:dyDescent="0.25">
      <c r="A20" s="30" t="s">
        <v>81</v>
      </c>
      <c r="B20" s="30" t="s">
        <v>64</v>
      </c>
      <c r="C20" s="30" t="s">
        <v>65</v>
      </c>
      <c r="D20" s="31" t="s">
        <v>82</v>
      </c>
      <c r="E20" s="30" t="s">
        <v>67</v>
      </c>
      <c r="F20" s="30" t="s">
        <v>18</v>
      </c>
      <c r="G20" s="31" t="s">
        <v>83</v>
      </c>
      <c r="H20" s="32">
        <v>58.9583333333333</v>
      </c>
      <c r="I20" s="31"/>
      <c r="J20" s="33">
        <v>46204</v>
      </c>
      <c r="K20" s="32">
        <v>0</v>
      </c>
      <c r="L20" s="32"/>
      <c r="M20" s="32">
        <v>0</v>
      </c>
      <c r="N20" s="31"/>
      <c r="O20" s="34">
        <v>46100.758067129631</v>
      </c>
      <c r="P20" s="35" t="s">
        <v>72</v>
      </c>
      <c r="Q20" s="35" t="s">
        <v>79</v>
      </c>
      <c r="R20" s="33">
        <v>46244</v>
      </c>
      <c r="S20" s="30" t="s">
        <v>85</v>
      </c>
      <c r="T20" s="36">
        <v>19</v>
      </c>
      <c r="U20" s="30" t="s">
        <v>74</v>
      </c>
      <c r="V20" s="30" t="s">
        <v>73</v>
      </c>
    </row>
    <row r="21" spans="1:22" x14ac:dyDescent="0.25">
      <c r="A21" s="30" t="s">
        <v>81</v>
      </c>
      <c r="B21" s="30" t="s">
        <v>64</v>
      </c>
      <c r="C21" s="30" t="s">
        <v>65</v>
      </c>
      <c r="D21" s="31" t="s">
        <v>82</v>
      </c>
      <c r="E21" s="30" t="s">
        <v>67</v>
      </c>
      <c r="F21" s="30" t="s">
        <v>18</v>
      </c>
      <c r="G21" s="31" t="s">
        <v>83</v>
      </c>
      <c r="H21" s="32">
        <v>59.1666666666667</v>
      </c>
      <c r="I21" s="31"/>
      <c r="J21" s="33">
        <v>46235</v>
      </c>
      <c r="K21" s="32">
        <v>0</v>
      </c>
      <c r="L21" s="32"/>
      <c r="M21" s="32">
        <v>0</v>
      </c>
      <c r="N21" s="31"/>
      <c r="O21" s="34">
        <v>46100.758067129631</v>
      </c>
      <c r="P21" s="35" t="s">
        <v>72</v>
      </c>
      <c r="Q21" s="35" t="s">
        <v>79</v>
      </c>
      <c r="R21" s="33">
        <v>46275</v>
      </c>
      <c r="S21" s="30" t="s">
        <v>85</v>
      </c>
      <c r="T21" s="36">
        <v>20</v>
      </c>
      <c r="U21" s="30" t="s">
        <v>74</v>
      </c>
      <c r="V21" s="30" t="s">
        <v>73</v>
      </c>
    </row>
    <row r="22" spans="1:22" x14ac:dyDescent="0.25">
      <c r="A22" s="30" t="s">
        <v>81</v>
      </c>
      <c r="B22" s="30" t="s">
        <v>64</v>
      </c>
      <c r="C22" s="30" t="s">
        <v>65</v>
      </c>
      <c r="D22" s="31" t="s">
        <v>82</v>
      </c>
      <c r="E22" s="30" t="s">
        <v>67</v>
      </c>
      <c r="F22" s="30" t="s">
        <v>18</v>
      </c>
      <c r="G22" s="31" t="s">
        <v>83</v>
      </c>
      <c r="H22" s="32">
        <v>59.375</v>
      </c>
      <c r="I22" s="31"/>
      <c r="J22" s="33">
        <v>46266</v>
      </c>
      <c r="K22" s="32">
        <v>0</v>
      </c>
      <c r="L22" s="32"/>
      <c r="M22" s="32">
        <v>0</v>
      </c>
      <c r="N22" s="31"/>
      <c r="O22" s="34">
        <v>46100.758067129631</v>
      </c>
      <c r="P22" s="35" t="s">
        <v>72</v>
      </c>
      <c r="Q22" s="35" t="s">
        <v>79</v>
      </c>
      <c r="R22" s="33">
        <v>46306</v>
      </c>
      <c r="S22" s="30" t="s">
        <v>85</v>
      </c>
      <c r="T22" s="36">
        <v>21</v>
      </c>
      <c r="U22" s="30" t="s">
        <v>74</v>
      </c>
      <c r="V22" s="30" t="s">
        <v>73</v>
      </c>
    </row>
    <row r="23" spans="1:22" x14ac:dyDescent="0.25">
      <c r="A23" s="30" t="s">
        <v>81</v>
      </c>
      <c r="B23" s="30" t="s">
        <v>64</v>
      </c>
      <c r="C23" s="30" t="s">
        <v>65</v>
      </c>
      <c r="D23" s="31" t="s">
        <v>82</v>
      </c>
      <c r="E23" s="30" t="s">
        <v>67</v>
      </c>
      <c r="F23" s="30" t="s">
        <v>18</v>
      </c>
      <c r="G23" s="31" t="s">
        <v>83</v>
      </c>
      <c r="H23" s="32">
        <v>59.5833333333333</v>
      </c>
      <c r="I23" s="31"/>
      <c r="J23" s="33">
        <v>46296</v>
      </c>
      <c r="K23" s="32">
        <v>0</v>
      </c>
      <c r="L23" s="32"/>
      <c r="M23" s="32">
        <v>0</v>
      </c>
      <c r="N23" s="31"/>
      <c r="O23" s="34">
        <v>46100.7580787037</v>
      </c>
      <c r="P23" s="35" t="s">
        <v>72</v>
      </c>
      <c r="Q23" s="35" t="s">
        <v>79</v>
      </c>
      <c r="R23" s="33">
        <v>46336</v>
      </c>
      <c r="S23" s="30" t="s">
        <v>85</v>
      </c>
      <c r="T23" s="36">
        <v>22</v>
      </c>
      <c r="U23" s="30" t="s">
        <v>74</v>
      </c>
      <c r="V23" s="30" t="s">
        <v>73</v>
      </c>
    </row>
    <row r="24" spans="1:22" x14ac:dyDescent="0.25">
      <c r="A24" s="30" t="s">
        <v>81</v>
      </c>
      <c r="B24" s="30" t="s">
        <v>64</v>
      </c>
      <c r="C24" s="30" t="s">
        <v>65</v>
      </c>
      <c r="D24" s="31" t="s">
        <v>82</v>
      </c>
      <c r="E24" s="30" t="s">
        <v>67</v>
      </c>
      <c r="F24" s="30" t="s">
        <v>18</v>
      </c>
      <c r="G24" s="31" t="s">
        <v>83</v>
      </c>
      <c r="H24" s="32">
        <v>59.7916666666667</v>
      </c>
      <c r="I24" s="31"/>
      <c r="J24" s="33">
        <v>46327</v>
      </c>
      <c r="K24" s="32">
        <v>0</v>
      </c>
      <c r="L24" s="32"/>
      <c r="M24" s="32">
        <v>0</v>
      </c>
      <c r="N24" s="31"/>
      <c r="O24" s="34">
        <v>46100.758101851854</v>
      </c>
      <c r="P24" s="35" t="s">
        <v>72</v>
      </c>
      <c r="Q24" s="35" t="s">
        <v>79</v>
      </c>
      <c r="R24" s="33">
        <v>46367</v>
      </c>
      <c r="S24" s="30" t="s">
        <v>85</v>
      </c>
      <c r="T24" s="36">
        <v>23</v>
      </c>
      <c r="U24" s="30" t="s">
        <v>74</v>
      </c>
      <c r="V24" s="30" t="s">
        <v>73</v>
      </c>
    </row>
    <row r="25" spans="1:22" x14ac:dyDescent="0.25">
      <c r="A25" s="30" t="s">
        <v>81</v>
      </c>
      <c r="B25" s="30" t="s">
        <v>64</v>
      </c>
      <c r="C25" s="30" t="s">
        <v>65</v>
      </c>
      <c r="D25" s="31" t="s">
        <v>82</v>
      </c>
      <c r="E25" s="30" t="s">
        <v>67</v>
      </c>
      <c r="F25" s="30" t="s">
        <v>18</v>
      </c>
      <c r="G25" s="31" t="s">
        <v>83</v>
      </c>
      <c r="H25" s="32">
        <v>60</v>
      </c>
      <c r="I25" s="31"/>
      <c r="J25" s="33">
        <v>46357</v>
      </c>
      <c r="K25" s="32">
        <v>0</v>
      </c>
      <c r="L25" s="32"/>
      <c r="M25" s="32">
        <v>0</v>
      </c>
      <c r="N25" s="31"/>
      <c r="O25" s="34">
        <v>46100.758113425924</v>
      </c>
      <c r="P25" s="35" t="s">
        <v>72</v>
      </c>
      <c r="Q25" s="35" t="s">
        <v>79</v>
      </c>
      <c r="R25" s="33">
        <v>46397</v>
      </c>
      <c r="S25" s="30" t="s">
        <v>85</v>
      </c>
      <c r="T25" s="36">
        <v>24</v>
      </c>
      <c r="U25" s="30" t="s">
        <v>74</v>
      </c>
      <c r="V25" s="30" t="s">
        <v>73</v>
      </c>
    </row>
    <row r="26" spans="1:22" ht="195" x14ac:dyDescent="0.25">
      <c r="A26" s="30" t="s">
        <v>90</v>
      </c>
      <c r="B26" s="30" t="s">
        <v>64</v>
      </c>
      <c r="C26" s="30" t="s">
        <v>91</v>
      </c>
      <c r="D26" s="31" t="s">
        <v>92</v>
      </c>
      <c r="E26" s="30" t="s">
        <v>67</v>
      </c>
      <c r="F26" s="30" t="s">
        <v>18</v>
      </c>
      <c r="G26" s="31" t="s">
        <v>93</v>
      </c>
      <c r="H26" s="32">
        <v>1056593038.5700001</v>
      </c>
      <c r="I26" s="31"/>
      <c r="J26" s="33">
        <v>46023</v>
      </c>
      <c r="K26" s="32">
        <v>1131557094.8099999</v>
      </c>
      <c r="L26" s="32">
        <v>1.0709488454906499</v>
      </c>
      <c r="M26" s="32">
        <v>1</v>
      </c>
      <c r="N26" s="31" t="s">
        <v>94</v>
      </c>
      <c r="O26" s="34">
        <v>46132.792303240742</v>
      </c>
      <c r="P26" s="35" t="s">
        <v>76</v>
      </c>
      <c r="Q26" s="35" t="s">
        <v>70</v>
      </c>
      <c r="R26" s="33">
        <v>46063</v>
      </c>
      <c r="S26" s="30" t="s">
        <v>95</v>
      </c>
      <c r="T26" s="36">
        <v>25</v>
      </c>
      <c r="U26" s="30" t="s">
        <v>74</v>
      </c>
      <c r="V26" s="30" t="s">
        <v>73</v>
      </c>
    </row>
    <row r="27" spans="1:22" ht="195" x14ac:dyDescent="0.25">
      <c r="A27" s="30" t="s">
        <v>90</v>
      </c>
      <c r="B27" s="30" t="s">
        <v>64</v>
      </c>
      <c r="C27" s="30" t="s">
        <v>91</v>
      </c>
      <c r="D27" s="31" t="s">
        <v>92</v>
      </c>
      <c r="E27" s="30" t="s">
        <v>67</v>
      </c>
      <c r="F27" s="30" t="s">
        <v>18</v>
      </c>
      <c r="G27" s="31" t="s">
        <v>93</v>
      </c>
      <c r="H27" s="32">
        <v>1997659492.5699999</v>
      </c>
      <c r="I27" s="31"/>
      <c r="J27" s="33">
        <v>46054</v>
      </c>
      <c r="K27" s="32">
        <v>2219993242.7800002</v>
      </c>
      <c r="L27" s="32">
        <v>1.1112971209742899</v>
      </c>
      <c r="M27" s="32">
        <v>1</v>
      </c>
      <c r="N27" s="31" t="s">
        <v>94</v>
      </c>
      <c r="O27" s="34">
        <v>46132.79488425926</v>
      </c>
      <c r="P27" s="35" t="s">
        <v>76</v>
      </c>
      <c r="Q27" s="35" t="s">
        <v>70</v>
      </c>
      <c r="R27" s="33">
        <v>46094</v>
      </c>
      <c r="S27" s="30" t="s">
        <v>95</v>
      </c>
      <c r="T27" s="36">
        <v>26</v>
      </c>
      <c r="U27" s="30" t="s">
        <v>74</v>
      </c>
      <c r="V27" s="30" t="s">
        <v>73</v>
      </c>
    </row>
    <row r="28" spans="1:22" ht="180" x14ac:dyDescent="0.25">
      <c r="A28" s="30" t="s">
        <v>90</v>
      </c>
      <c r="B28" s="30" t="s">
        <v>64</v>
      </c>
      <c r="C28" s="30" t="s">
        <v>91</v>
      </c>
      <c r="D28" s="31" t="s">
        <v>92</v>
      </c>
      <c r="E28" s="30" t="s">
        <v>67</v>
      </c>
      <c r="F28" s="30" t="s">
        <v>18</v>
      </c>
      <c r="G28" s="31" t="s">
        <v>93</v>
      </c>
      <c r="H28" s="32">
        <v>3070246140.7800002</v>
      </c>
      <c r="I28" s="31"/>
      <c r="J28" s="33">
        <v>46082</v>
      </c>
      <c r="K28" s="32">
        <v>3322204494.29</v>
      </c>
      <c r="L28" s="32">
        <v>1.0820645453025399</v>
      </c>
      <c r="M28" s="32">
        <v>1</v>
      </c>
      <c r="N28" s="31" t="s">
        <v>96</v>
      </c>
      <c r="O28" s="34">
        <v>46132.795659722222</v>
      </c>
      <c r="P28" s="35" t="s">
        <v>76</v>
      </c>
      <c r="Q28" s="35" t="s">
        <v>70</v>
      </c>
      <c r="R28" s="33">
        <v>46122</v>
      </c>
      <c r="S28" s="30" t="s">
        <v>95</v>
      </c>
      <c r="T28" s="36">
        <v>27</v>
      </c>
      <c r="U28" s="30" t="s">
        <v>74</v>
      </c>
      <c r="V28" s="30" t="s">
        <v>73</v>
      </c>
    </row>
    <row r="29" spans="1:22" ht="60" x14ac:dyDescent="0.25">
      <c r="A29" s="30" t="s">
        <v>90</v>
      </c>
      <c r="B29" s="30" t="s">
        <v>64</v>
      </c>
      <c r="C29" s="30" t="s">
        <v>91</v>
      </c>
      <c r="D29" s="31" t="s">
        <v>92</v>
      </c>
      <c r="E29" s="30" t="s">
        <v>67</v>
      </c>
      <c r="F29" s="30" t="s">
        <v>18</v>
      </c>
      <c r="G29" s="31" t="s">
        <v>93</v>
      </c>
      <c r="H29" s="32">
        <v>4193018946.75</v>
      </c>
      <c r="I29" s="31"/>
      <c r="J29" s="33">
        <v>46113</v>
      </c>
      <c r="K29" s="32">
        <v>4455763900.8000002</v>
      </c>
      <c r="L29" s="32">
        <v>1.0626624771761799</v>
      </c>
      <c r="M29" s="32">
        <v>1</v>
      </c>
      <c r="N29" s="31" t="s">
        <v>97</v>
      </c>
      <c r="O29" s="34">
        <v>46220.470763888887</v>
      </c>
      <c r="P29" s="35" t="s">
        <v>76</v>
      </c>
      <c r="Q29" s="35" t="s">
        <v>79</v>
      </c>
      <c r="R29" s="33">
        <v>46153</v>
      </c>
      <c r="S29" s="30" t="s">
        <v>95</v>
      </c>
      <c r="T29" s="36">
        <v>28</v>
      </c>
      <c r="U29" s="30" t="s">
        <v>74</v>
      </c>
      <c r="V29" s="30" t="s">
        <v>73</v>
      </c>
    </row>
    <row r="30" spans="1:22" ht="60" x14ac:dyDescent="0.25">
      <c r="A30" s="30" t="s">
        <v>90</v>
      </c>
      <c r="B30" s="30" t="s">
        <v>64</v>
      </c>
      <c r="C30" s="30" t="s">
        <v>91</v>
      </c>
      <c r="D30" s="31" t="s">
        <v>92</v>
      </c>
      <c r="E30" s="30" t="s">
        <v>67</v>
      </c>
      <c r="F30" s="30" t="s">
        <v>18</v>
      </c>
      <c r="G30" s="31" t="s">
        <v>93</v>
      </c>
      <c r="H30" s="32">
        <v>5285128207.7799997</v>
      </c>
      <c r="I30" s="31"/>
      <c r="J30" s="33">
        <v>46143</v>
      </c>
      <c r="K30" s="32">
        <v>5640812286.3299999</v>
      </c>
      <c r="L30" s="32">
        <v>1.06729904452013</v>
      </c>
      <c r="M30" s="32">
        <v>1</v>
      </c>
      <c r="N30" s="31" t="s">
        <v>97</v>
      </c>
      <c r="O30" s="34">
        <v>46220.471400462964</v>
      </c>
      <c r="P30" s="35" t="s">
        <v>76</v>
      </c>
      <c r="Q30" s="35" t="s">
        <v>79</v>
      </c>
      <c r="R30" s="33">
        <v>46183</v>
      </c>
      <c r="S30" s="30" t="s">
        <v>95</v>
      </c>
      <c r="T30" s="36">
        <v>29</v>
      </c>
      <c r="U30" s="30" t="s">
        <v>74</v>
      </c>
      <c r="V30" s="30" t="s">
        <v>73</v>
      </c>
    </row>
    <row r="31" spans="1:22" ht="60" x14ac:dyDescent="0.25">
      <c r="A31" s="30" t="s">
        <v>90</v>
      </c>
      <c r="B31" s="30" t="s">
        <v>64</v>
      </c>
      <c r="C31" s="30" t="s">
        <v>91</v>
      </c>
      <c r="D31" s="31" t="s">
        <v>92</v>
      </c>
      <c r="E31" s="30" t="s">
        <v>67</v>
      </c>
      <c r="F31" s="30" t="s">
        <v>18</v>
      </c>
      <c r="G31" s="31" t="s">
        <v>93</v>
      </c>
      <c r="H31" s="32">
        <v>6512131484.9300003</v>
      </c>
      <c r="I31" s="31"/>
      <c r="J31" s="33">
        <v>46174</v>
      </c>
      <c r="K31" s="32">
        <v>6784050495.3199997</v>
      </c>
      <c r="L31" s="32">
        <v>1.0417557616917399</v>
      </c>
      <c r="M31" s="32">
        <v>1</v>
      </c>
      <c r="N31" s="31" t="s">
        <v>97</v>
      </c>
      <c r="O31" s="34">
        <v>46220.471944444442</v>
      </c>
      <c r="P31" s="35" t="s">
        <v>76</v>
      </c>
      <c r="Q31" s="35" t="s">
        <v>79</v>
      </c>
      <c r="R31" s="33">
        <v>46214</v>
      </c>
      <c r="S31" s="30" t="s">
        <v>95</v>
      </c>
      <c r="T31" s="36">
        <v>30</v>
      </c>
      <c r="U31" s="30" t="s">
        <v>74</v>
      </c>
      <c r="V31" s="30" t="s">
        <v>73</v>
      </c>
    </row>
    <row r="32" spans="1:22" x14ac:dyDescent="0.25">
      <c r="A32" s="30" t="s">
        <v>90</v>
      </c>
      <c r="B32" s="30" t="s">
        <v>64</v>
      </c>
      <c r="C32" s="30" t="s">
        <v>91</v>
      </c>
      <c r="D32" s="31" t="s">
        <v>92</v>
      </c>
      <c r="E32" s="30" t="s">
        <v>67</v>
      </c>
      <c r="F32" s="30" t="s">
        <v>18</v>
      </c>
      <c r="G32" s="31" t="s">
        <v>93</v>
      </c>
      <c r="H32" s="32">
        <v>7644597006.0799999</v>
      </c>
      <c r="I32" s="31"/>
      <c r="J32" s="33">
        <v>46204</v>
      </c>
      <c r="K32" s="32">
        <v>0</v>
      </c>
      <c r="L32" s="32"/>
      <c r="M32" s="32">
        <v>0</v>
      </c>
      <c r="N32" s="31"/>
      <c r="O32" s="34">
        <v>46126.760381944441</v>
      </c>
      <c r="P32" s="35" t="s">
        <v>72</v>
      </c>
      <c r="Q32" s="35" t="s">
        <v>79</v>
      </c>
      <c r="R32" s="33">
        <v>46244</v>
      </c>
      <c r="S32" s="30" t="s">
        <v>95</v>
      </c>
      <c r="T32" s="36">
        <v>31</v>
      </c>
      <c r="U32" s="30" t="s">
        <v>74</v>
      </c>
      <c r="V32" s="30" t="s">
        <v>73</v>
      </c>
    </row>
    <row r="33" spans="1:22" x14ac:dyDescent="0.25">
      <c r="A33" s="30" t="s">
        <v>90</v>
      </c>
      <c r="B33" s="30" t="s">
        <v>64</v>
      </c>
      <c r="C33" s="30" t="s">
        <v>91</v>
      </c>
      <c r="D33" s="31" t="s">
        <v>92</v>
      </c>
      <c r="E33" s="30" t="s">
        <v>67</v>
      </c>
      <c r="F33" s="30" t="s">
        <v>18</v>
      </c>
      <c r="G33" s="31" t="s">
        <v>93</v>
      </c>
      <c r="H33" s="32">
        <v>8771034926.8400002</v>
      </c>
      <c r="I33" s="31"/>
      <c r="J33" s="33">
        <v>46235</v>
      </c>
      <c r="K33" s="32">
        <v>0</v>
      </c>
      <c r="L33" s="32"/>
      <c r="M33" s="32">
        <v>0</v>
      </c>
      <c r="N33" s="31"/>
      <c r="O33" s="34">
        <v>46126.760381944441</v>
      </c>
      <c r="P33" s="35" t="s">
        <v>72</v>
      </c>
      <c r="Q33" s="35" t="s">
        <v>79</v>
      </c>
      <c r="R33" s="33">
        <v>46275</v>
      </c>
      <c r="S33" s="30" t="s">
        <v>95</v>
      </c>
      <c r="T33" s="36">
        <v>32</v>
      </c>
      <c r="U33" s="30" t="s">
        <v>74</v>
      </c>
      <c r="V33" s="30" t="s">
        <v>73</v>
      </c>
    </row>
    <row r="34" spans="1:22" x14ac:dyDescent="0.25">
      <c r="A34" s="30" t="s">
        <v>90</v>
      </c>
      <c r="B34" s="30" t="s">
        <v>64</v>
      </c>
      <c r="C34" s="30" t="s">
        <v>91</v>
      </c>
      <c r="D34" s="31" t="s">
        <v>92</v>
      </c>
      <c r="E34" s="30" t="s">
        <v>67</v>
      </c>
      <c r="F34" s="30" t="s">
        <v>18</v>
      </c>
      <c r="G34" s="31" t="s">
        <v>93</v>
      </c>
      <c r="H34" s="32">
        <v>10271204883.870001</v>
      </c>
      <c r="I34" s="31"/>
      <c r="J34" s="33">
        <v>46266</v>
      </c>
      <c r="K34" s="32">
        <v>0</v>
      </c>
      <c r="L34" s="32"/>
      <c r="M34" s="32">
        <v>0</v>
      </c>
      <c r="N34" s="31"/>
      <c r="O34" s="34">
        <v>46126.760381944441</v>
      </c>
      <c r="P34" s="35" t="s">
        <v>72</v>
      </c>
      <c r="Q34" s="35" t="s">
        <v>79</v>
      </c>
      <c r="R34" s="33">
        <v>46306</v>
      </c>
      <c r="S34" s="30" t="s">
        <v>95</v>
      </c>
      <c r="T34" s="36">
        <v>33</v>
      </c>
      <c r="U34" s="30" t="s">
        <v>74</v>
      </c>
      <c r="V34" s="30" t="s">
        <v>73</v>
      </c>
    </row>
    <row r="35" spans="1:22" x14ac:dyDescent="0.25">
      <c r="A35" s="30" t="s">
        <v>90</v>
      </c>
      <c r="B35" s="30" t="s">
        <v>64</v>
      </c>
      <c r="C35" s="30" t="s">
        <v>91</v>
      </c>
      <c r="D35" s="31" t="s">
        <v>92</v>
      </c>
      <c r="E35" s="30" t="s">
        <v>67</v>
      </c>
      <c r="F35" s="30" t="s">
        <v>18</v>
      </c>
      <c r="G35" s="31" t="s">
        <v>93</v>
      </c>
      <c r="H35" s="32">
        <v>11442642919.959999</v>
      </c>
      <c r="I35" s="31"/>
      <c r="J35" s="33">
        <v>46296</v>
      </c>
      <c r="K35" s="32">
        <v>0</v>
      </c>
      <c r="L35" s="32"/>
      <c r="M35" s="32">
        <v>0</v>
      </c>
      <c r="N35" s="31"/>
      <c r="O35" s="34">
        <v>46126.760381944441</v>
      </c>
      <c r="P35" s="35" t="s">
        <v>72</v>
      </c>
      <c r="Q35" s="35" t="s">
        <v>79</v>
      </c>
      <c r="R35" s="33">
        <v>46336</v>
      </c>
      <c r="S35" s="30" t="s">
        <v>95</v>
      </c>
      <c r="T35" s="36">
        <v>34</v>
      </c>
      <c r="U35" s="30" t="s">
        <v>74</v>
      </c>
      <c r="V35" s="30" t="s">
        <v>73</v>
      </c>
    </row>
    <row r="36" spans="1:22" x14ac:dyDescent="0.25">
      <c r="A36" s="30" t="s">
        <v>90</v>
      </c>
      <c r="B36" s="30" t="s">
        <v>64</v>
      </c>
      <c r="C36" s="30" t="s">
        <v>91</v>
      </c>
      <c r="D36" s="31" t="s">
        <v>92</v>
      </c>
      <c r="E36" s="30" t="s">
        <v>67</v>
      </c>
      <c r="F36" s="30" t="s">
        <v>18</v>
      </c>
      <c r="G36" s="31" t="s">
        <v>93</v>
      </c>
      <c r="H36" s="32">
        <v>12525118607.91</v>
      </c>
      <c r="I36" s="31"/>
      <c r="J36" s="33">
        <v>46327</v>
      </c>
      <c r="K36" s="32">
        <v>0</v>
      </c>
      <c r="L36" s="32"/>
      <c r="M36" s="32">
        <v>0</v>
      </c>
      <c r="N36" s="31"/>
      <c r="O36" s="34">
        <v>46126.760381944441</v>
      </c>
      <c r="P36" s="35" t="s">
        <v>72</v>
      </c>
      <c r="Q36" s="35" t="s">
        <v>79</v>
      </c>
      <c r="R36" s="33">
        <v>46367</v>
      </c>
      <c r="S36" s="30" t="s">
        <v>95</v>
      </c>
      <c r="T36" s="36">
        <v>35</v>
      </c>
      <c r="U36" s="30" t="s">
        <v>74</v>
      </c>
      <c r="V36" s="30" t="s">
        <v>73</v>
      </c>
    </row>
    <row r="37" spans="1:22" x14ac:dyDescent="0.25">
      <c r="A37" s="30" t="s">
        <v>90</v>
      </c>
      <c r="B37" s="30" t="s">
        <v>64</v>
      </c>
      <c r="C37" s="30" t="s">
        <v>91</v>
      </c>
      <c r="D37" s="31" t="s">
        <v>92</v>
      </c>
      <c r="E37" s="30" t="s">
        <v>67</v>
      </c>
      <c r="F37" s="30" t="s">
        <v>18</v>
      </c>
      <c r="G37" s="31" t="s">
        <v>93</v>
      </c>
      <c r="H37" s="32">
        <v>14996238568.92</v>
      </c>
      <c r="I37" s="31"/>
      <c r="J37" s="33">
        <v>46357</v>
      </c>
      <c r="K37" s="32">
        <v>0</v>
      </c>
      <c r="L37" s="32"/>
      <c r="M37" s="32">
        <v>0</v>
      </c>
      <c r="N37" s="31"/>
      <c r="O37" s="34">
        <v>46126.760381944441</v>
      </c>
      <c r="P37" s="35" t="s">
        <v>72</v>
      </c>
      <c r="Q37" s="35" t="s">
        <v>79</v>
      </c>
      <c r="R37" s="33">
        <v>46397</v>
      </c>
      <c r="S37" s="30" t="s">
        <v>95</v>
      </c>
      <c r="T37" s="36">
        <v>36</v>
      </c>
      <c r="U37" s="30" t="s">
        <v>74</v>
      </c>
      <c r="V37" s="30" t="s">
        <v>73</v>
      </c>
    </row>
    <row r="38" spans="1:22" ht="30" x14ac:dyDescent="0.25">
      <c r="A38" s="30" t="s">
        <v>98</v>
      </c>
      <c r="B38" s="30" t="s">
        <v>64</v>
      </c>
      <c r="C38" s="30" t="s">
        <v>91</v>
      </c>
      <c r="D38" s="31" t="s">
        <v>99</v>
      </c>
      <c r="E38" s="30" t="s">
        <v>100</v>
      </c>
      <c r="F38" s="30" t="s">
        <v>19</v>
      </c>
      <c r="G38" s="31" t="s">
        <v>101</v>
      </c>
      <c r="H38" s="32">
        <v>0.1449</v>
      </c>
      <c r="I38" s="31"/>
      <c r="J38" s="33">
        <v>46023</v>
      </c>
      <c r="K38" s="32">
        <v>6.4199999999999993E-2</v>
      </c>
      <c r="L38" s="32">
        <v>1.0944</v>
      </c>
      <c r="M38" s="32">
        <v>1</v>
      </c>
      <c r="N38" s="31" t="s">
        <v>102</v>
      </c>
      <c r="O38" s="34">
        <v>46156.596585648149</v>
      </c>
      <c r="P38" s="35" t="s">
        <v>103</v>
      </c>
      <c r="Q38" s="35" t="s">
        <v>70</v>
      </c>
      <c r="R38" s="33">
        <v>46063</v>
      </c>
      <c r="S38" s="30" t="s">
        <v>21</v>
      </c>
      <c r="T38" s="36">
        <v>37</v>
      </c>
      <c r="U38" s="30" t="s">
        <v>74</v>
      </c>
      <c r="V38" s="30" t="s">
        <v>73</v>
      </c>
    </row>
    <row r="39" spans="1:22" ht="30" x14ac:dyDescent="0.25">
      <c r="A39" s="30" t="s">
        <v>98</v>
      </c>
      <c r="B39" s="30" t="s">
        <v>64</v>
      </c>
      <c r="C39" s="30" t="s">
        <v>91</v>
      </c>
      <c r="D39" s="31" t="s">
        <v>99</v>
      </c>
      <c r="E39" s="30" t="s">
        <v>100</v>
      </c>
      <c r="F39" s="30" t="s">
        <v>19</v>
      </c>
      <c r="G39" s="31" t="s">
        <v>101</v>
      </c>
      <c r="H39" s="32">
        <v>0.14449999999999999</v>
      </c>
      <c r="I39" s="31"/>
      <c r="J39" s="33">
        <v>46054</v>
      </c>
      <c r="K39" s="32">
        <v>0.11</v>
      </c>
      <c r="L39" s="32">
        <v>1.0403</v>
      </c>
      <c r="M39" s="32">
        <v>1</v>
      </c>
      <c r="N39" s="31" t="s">
        <v>104</v>
      </c>
      <c r="O39" s="34">
        <v>46156.596932870372</v>
      </c>
      <c r="P39" s="35" t="s">
        <v>103</v>
      </c>
      <c r="Q39" s="35" t="s">
        <v>70</v>
      </c>
      <c r="R39" s="33">
        <v>46094</v>
      </c>
      <c r="S39" s="30" t="s">
        <v>21</v>
      </c>
      <c r="T39" s="36">
        <v>38</v>
      </c>
      <c r="U39" s="30" t="s">
        <v>74</v>
      </c>
      <c r="V39" s="30" t="s">
        <v>73</v>
      </c>
    </row>
    <row r="40" spans="1:22" ht="30" x14ac:dyDescent="0.25">
      <c r="A40" s="30" t="s">
        <v>98</v>
      </c>
      <c r="B40" s="30" t="s">
        <v>64</v>
      </c>
      <c r="C40" s="30" t="s">
        <v>91</v>
      </c>
      <c r="D40" s="31" t="s">
        <v>99</v>
      </c>
      <c r="E40" s="30" t="s">
        <v>100</v>
      </c>
      <c r="F40" s="30" t="s">
        <v>19</v>
      </c>
      <c r="G40" s="31" t="s">
        <v>101</v>
      </c>
      <c r="H40" s="32">
        <v>0.14410000000000001</v>
      </c>
      <c r="I40" s="31"/>
      <c r="J40" s="33">
        <v>46082</v>
      </c>
      <c r="K40" s="32">
        <v>0.108</v>
      </c>
      <c r="L40" s="32">
        <v>1.0422</v>
      </c>
      <c r="M40" s="32">
        <v>1</v>
      </c>
      <c r="N40" s="31" t="s">
        <v>105</v>
      </c>
      <c r="O40" s="34">
        <v>46156.597256944442</v>
      </c>
      <c r="P40" s="35" t="s">
        <v>103</v>
      </c>
      <c r="Q40" s="35" t="s">
        <v>70</v>
      </c>
      <c r="R40" s="33">
        <v>46122</v>
      </c>
      <c r="S40" s="30" t="s">
        <v>21</v>
      </c>
      <c r="T40" s="36">
        <v>39</v>
      </c>
      <c r="U40" s="30" t="s">
        <v>74</v>
      </c>
      <c r="V40" s="30" t="s">
        <v>73</v>
      </c>
    </row>
    <row r="41" spans="1:22" ht="165" x14ac:dyDescent="0.25">
      <c r="A41" s="30" t="s">
        <v>98</v>
      </c>
      <c r="B41" s="30" t="s">
        <v>64</v>
      </c>
      <c r="C41" s="30" t="s">
        <v>91</v>
      </c>
      <c r="D41" s="31" t="s">
        <v>99</v>
      </c>
      <c r="E41" s="30" t="s">
        <v>100</v>
      </c>
      <c r="F41" s="30" t="s">
        <v>19</v>
      </c>
      <c r="G41" s="31" t="s">
        <v>101</v>
      </c>
      <c r="H41" s="32">
        <v>0.14360000000000001</v>
      </c>
      <c r="I41" s="31"/>
      <c r="J41" s="33">
        <v>46113</v>
      </c>
      <c r="K41" s="32">
        <v>0.1113</v>
      </c>
      <c r="L41" s="32">
        <v>1.0377000000000001</v>
      </c>
      <c r="M41" s="32">
        <v>1</v>
      </c>
      <c r="N41" s="31" t="s">
        <v>106</v>
      </c>
      <c r="O41" s="34">
        <v>46203.787881944445</v>
      </c>
      <c r="P41" s="35" t="s">
        <v>103</v>
      </c>
      <c r="Q41" s="35" t="s">
        <v>70</v>
      </c>
      <c r="R41" s="33">
        <v>46153</v>
      </c>
      <c r="S41" s="30" t="s">
        <v>21</v>
      </c>
      <c r="T41" s="36">
        <v>40</v>
      </c>
      <c r="U41" s="30" t="s">
        <v>74</v>
      </c>
      <c r="V41" s="30" t="s">
        <v>73</v>
      </c>
    </row>
    <row r="42" spans="1:22" ht="180" x14ac:dyDescent="0.25">
      <c r="A42" s="30" t="s">
        <v>98</v>
      </c>
      <c r="B42" s="30" t="s">
        <v>64</v>
      </c>
      <c r="C42" s="30" t="s">
        <v>91</v>
      </c>
      <c r="D42" s="31" t="s">
        <v>99</v>
      </c>
      <c r="E42" s="30" t="s">
        <v>100</v>
      </c>
      <c r="F42" s="30" t="s">
        <v>19</v>
      </c>
      <c r="G42" s="31" t="s">
        <v>101</v>
      </c>
      <c r="H42" s="32">
        <v>0.14319999999999999</v>
      </c>
      <c r="I42" s="31"/>
      <c r="J42" s="33">
        <v>46143</v>
      </c>
      <c r="K42" s="32">
        <v>0.1115</v>
      </c>
      <c r="L42" s="32">
        <v>1.0369999999999999</v>
      </c>
      <c r="M42" s="32">
        <v>1</v>
      </c>
      <c r="N42" s="31" t="s">
        <v>107</v>
      </c>
      <c r="O42" s="34">
        <v>46203.78802083333</v>
      </c>
      <c r="P42" s="35" t="s">
        <v>103</v>
      </c>
      <c r="Q42" s="35" t="s">
        <v>70</v>
      </c>
      <c r="R42" s="33">
        <v>46183</v>
      </c>
      <c r="S42" s="30" t="s">
        <v>21</v>
      </c>
      <c r="T42" s="36">
        <v>41</v>
      </c>
      <c r="U42" s="30" t="s">
        <v>74</v>
      </c>
      <c r="V42" s="30" t="s">
        <v>73</v>
      </c>
    </row>
    <row r="43" spans="1:22" ht="195" x14ac:dyDescent="0.25">
      <c r="A43" s="30" t="s">
        <v>98</v>
      </c>
      <c r="B43" s="30" t="s">
        <v>64</v>
      </c>
      <c r="C43" s="30" t="s">
        <v>91</v>
      </c>
      <c r="D43" s="31" t="s">
        <v>99</v>
      </c>
      <c r="E43" s="30" t="s">
        <v>100</v>
      </c>
      <c r="F43" s="30" t="s">
        <v>19</v>
      </c>
      <c r="G43" s="31" t="s">
        <v>101</v>
      </c>
      <c r="H43" s="32">
        <v>0.14280000000000001</v>
      </c>
      <c r="I43" s="31"/>
      <c r="J43" s="33">
        <v>46174</v>
      </c>
      <c r="K43" s="32">
        <v>0.1115</v>
      </c>
      <c r="L43" s="32">
        <v>1.0365</v>
      </c>
      <c r="M43" s="32">
        <v>1</v>
      </c>
      <c r="N43" s="31" t="s">
        <v>108</v>
      </c>
      <c r="O43" s="34">
        <v>46245.675798611112</v>
      </c>
      <c r="P43" s="35" t="s">
        <v>109</v>
      </c>
      <c r="Q43" s="35" t="s">
        <v>70</v>
      </c>
      <c r="R43" s="33">
        <v>46214</v>
      </c>
      <c r="S43" s="30" t="s">
        <v>21</v>
      </c>
      <c r="T43" s="36">
        <v>42</v>
      </c>
      <c r="U43" s="30" t="s">
        <v>74</v>
      </c>
      <c r="V43" s="30" t="s">
        <v>73</v>
      </c>
    </row>
    <row r="44" spans="1:22" ht="30" x14ac:dyDescent="0.25">
      <c r="A44" s="30" t="s">
        <v>98</v>
      </c>
      <c r="B44" s="30" t="s">
        <v>64</v>
      </c>
      <c r="C44" s="30" t="s">
        <v>91</v>
      </c>
      <c r="D44" s="31" t="s">
        <v>99</v>
      </c>
      <c r="E44" s="30" t="s">
        <v>100</v>
      </c>
      <c r="F44" s="30" t="s">
        <v>19</v>
      </c>
      <c r="G44" s="31" t="s">
        <v>101</v>
      </c>
      <c r="H44" s="32">
        <v>0.142383333</v>
      </c>
      <c r="I44" s="31"/>
      <c r="J44" s="33">
        <v>46204</v>
      </c>
      <c r="K44" s="32">
        <v>0</v>
      </c>
      <c r="L44" s="32"/>
      <c r="M44" s="32">
        <v>0</v>
      </c>
      <c r="N44" s="31"/>
      <c r="O44" s="34">
        <v>46156.543807870374</v>
      </c>
      <c r="P44" s="35" t="s">
        <v>72</v>
      </c>
      <c r="Q44" s="35" t="s">
        <v>79</v>
      </c>
      <c r="R44" s="33">
        <v>46244</v>
      </c>
      <c r="S44" s="30" t="s">
        <v>21</v>
      </c>
      <c r="T44" s="36">
        <v>43</v>
      </c>
      <c r="U44" s="30" t="s">
        <v>74</v>
      </c>
      <c r="V44" s="30" t="s">
        <v>73</v>
      </c>
    </row>
    <row r="45" spans="1:22" ht="30" x14ac:dyDescent="0.25">
      <c r="A45" s="30" t="s">
        <v>98</v>
      </c>
      <c r="B45" s="30" t="s">
        <v>64</v>
      </c>
      <c r="C45" s="30" t="s">
        <v>91</v>
      </c>
      <c r="D45" s="31" t="s">
        <v>99</v>
      </c>
      <c r="E45" s="30" t="s">
        <v>100</v>
      </c>
      <c r="F45" s="30" t="s">
        <v>19</v>
      </c>
      <c r="G45" s="31" t="s">
        <v>101</v>
      </c>
      <c r="H45" s="32">
        <v>0.14196666699999999</v>
      </c>
      <c r="I45" s="31"/>
      <c r="J45" s="33">
        <v>46235</v>
      </c>
      <c r="K45" s="32">
        <v>0</v>
      </c>
      <c r="L45" s="32"/>
      <c r="M45" s="32">
        <v>0</v>
      </c>
      <c r="N45" s="31"/>
      <c r="O45" s="34">
        <v>46156.543900462966</v>
      </c>
      <c r="P45" s="35" t="s">
        <v>72</v>
      </c>
      <c r="Q45" s="35" t="s">
        <v>79</v>
      </c>
      <c r="R45" s="33">
        <v>46275</v>
      </c>
      <c r="S45" s="30" t="s">
        <v>21</v>
      </c>
      <c r="T45" s="36">
        <v>44</v>
      </c>
      <c r="U45" s="30" t="s">
        <v>74</v>
      </c>
      <c r="V45" s="30" t="s">
        <v>73</v>
      </c>
    </row>
    <row r="46" spans="1:22" ht="30" x14ac:dyDescent="0.25">
      <c r="A46" s="30" t="s">
        <v>98</v>
      </c>
      <c r="B46" s="30" t="s">
        <v>64</v>
      </c>
      <c r="C46" s="30" t="s">
        <v>91</v>
      </c>
      <c r="D46" s="31" t="s">
        <v>99</v>
      </c>
      <c r="E46" s="30" t="s">
        <v>100</v>
      </c>
      <c r="F46" s="30" t="s">
        <v>19</v>
      </c>
      <c r="G46" s="31" t="s">
        <v>101</v>
      </c>
      <c r="H46" s="32">
        <v>0.14155000000000001</v>
      </c>
      <c r="I46" s="31"/>
      <c r="J46" s="33">
        <v>46266</v>
      </c>
      <c r="K46" s="32">
        <v>0</v>
      </c>
      <c r="L46" s="32"/>
      <c r="M46" s="32">
        <v>0</v>
      </c>
      <c r="N46" s="31"/>
      <c r="O46" s="34">
        <v>46156.544050925928</v>
      </c>
      <c r="P46" s="35" t="s">
        <v>72</v>
      </c>
      <c r="Q46" s="35" t="s">
        <v>79</v>
      </c>
      <c r="R46" s="33">
        <v>46306</v>
      </c>
      <c r="S46" s="30" t="s">
        <v>21</v>
      </c>
      <c r="T46" s="36">
        <v>45</v>
      </c>
      <c r="U46" s="30" t="s">
        <v>74</v>
      </c>
      <c r="V46" s="30" t="s">
        <v>73</v>
      </c>
    </row>
    <row r="47" spans="1:22" ht="30" x14ac:dyDescent="0.25">
      <c r="A47" s="30" t="s">
        <v>98</v>
      </c>
      <c r="B47" s="30" t="s">
        <v>64</v>
      </c>
      <c r="C47" s="30" t="s">
        <v>91</v>
      </c>
      <c r="D47" s="31" t="s">
        <v>99</v>
      </c>
      <c r="E47" s="30" t="s">
        <v>100</v>
      </c>
      <c r="F47" s="30" t="s">
        <v>19</v>
      </c>
      <c r="G47" s="31" t="s">
        <v>101</v>
      </c>
      <c r="H47" s="32">
        <v>0.141133333</v>
      </c>
      <c r="I47" s="31"/>
      <c r="J47" s="33">
        <v>46296</v>
      </c>
      <c r="K47" s="32">
        <v>0</v>
      </c>
      <c r="L47" s="32"/>
      <c r="M47" s="32">
        <v>0</v>
      </c>
      <c r="N47" s="31"/>
      <c r="O47" s="34">
        <v>46156.544120370374</v>
      </c>
      <c r="P47" s="35" t="s">
        <v>72</v>
      </c>
      <c r="Q47" s="35" t="s">
        <v>79</v>
      </c>
      <c r="R47" s="33">
        <v>46336</v>
      </c>
      <c r="S47" s="30" t="s">
        <v>21</v>
      </c>
      <c r="T47" s="36">
        <v>46</v>
      </c>
      <c r="U47" s="30" t="s">
        <v>74</v>
      </c>
      <c r="V47" s="30" t="s">
        <v>73</v>
      </c>
    </row>
    <row r="48" spans="1:22" ht="30" x14ac:dyDescent="0.25">
      <c r="A48" s="30" t="s">
        <v>98</v>
      </c>
      <c r="B48" s="30" t="s">
        <v>64</v>
      </c>
      <c r="C48" s="30" t="s">
        <v>91</v>
      </c>
      <c r="D48" s="31" t="s">
        <v>99</v>
      </c>
      <c r="E48" s="30" t="s">
        <v>100</v>
      </c>
      <c r="F48" s="30" t="s">
        <v>19</v>
      </c>
      <c r="G48" s="31" t="s">
        <v>101</v>
      </c>
      <c r="H48" s="32">
        <v>0.14071666699999999</v>
      </c>
      <c r="I48" s="31"/>
      <c r="J48" s="33">
        <v>46327</v>
      </c>
      <c r="K48" s="32">
        <v>0</v>
      </c>
      <c r="L48" s="32"/>
      <c r="M48" s="32">
        <v>0</v>
      </c>
      <c r="N48" s="31"/>
      <c r="O48" s="34">
        <v>46156.544224537036</v>
      </c>
      <c r="P48" s="35" t="s">
        <v>72</v>
      </c>
      <c r="Q48" s="35" t="s">
        <v>79</v>
      </c>
      <c r="R48" s="33">
        <v>46367</v>
      </c>
      <c r="S48" s="30" t="s">
        <v>21</v>
      </c>
      <c r="T48" s="36">
        <v>47</v>
      </c>
      <c r="U48" s="30" t="s">
        <v>74</v>
      </c>
      <c r="V48" s="30" t="s">
        <v>73</v>
      </c>
    </row>
    <row r="49" spans="1:22" ht="30" x14ac:dyDescent="0.25">
      <c r="A49" s="30" t="s">
        <v>98</v>
      </c>
      <c r="B49" s="30" t="s">
        <v>64</v>
      </c>
      <c r="C49" s="30" t="s">
        <v>91</v>
      </c>
      <c r="D49" s="31" t="s">
        <v>99</v>
      </c>
      <c r="E49" s="30" t="s">
        <v>100</v>
      </c>
      <c r="F49" s="30" t="s">
        <v>19</v>
      </c>
      <c r="G49" s="31" t="s">
        <v>101</v>
      </c>
      <c r="H49" s="32">
        <v>0.14030000000000001</v>
      </c>
      <c r="I49" s="31"/>
      <c r="J49" s="33">
        <v>46357</v>
      </c>
      <c r="K49" s="32">
        <v>0</v>
      </c>
      <c r="L49" s="32"/>
      <c r="M49" s="32">
        <v>0</v>
      </c>
      <c r="N49" s="31"/>
      <c r="O49" s="34">
        <v>46156.544351851851</v>
      </c>
      <c r="P49" s="35" t="s">
        <v>72</v>
      </c>
      <c r="Q49" s="35" t="s">
        <v>79</v>
      </c>
      <c r="R49" s="33">
        <v>46397</v>
      </c>
      <c r="S49" s="30" t="s">
        <v>21</v>
      </c>
      <c r="T49" s="36">
        <v>48</v>
      </c>
      <c r="U49" s="30" t="s">
        <v>74</v>
      </c>
      <c r="V49" s="30" t="s">
        <v>73</v>
      </c>
    </row>
    <row r="50" spans="1:22" ht="90" x14ac:dyDescent="0.25">
      <c r="A50" s="30" t="s">
        <v>110</v>
      </c>
      <c r="B50" s="30" t="s">
        <v>64</v>
      </c>
      <c r="C50" s="30" t="s">
        <v>91</v>
      </c>
      <c r="D50" s="31" t="s">
        <v>111</v>
      </c>
      <c r="E50" s="30" t="s">
        <v>100</v>
      </c>
      <c r="F50" s="30" t="s">
        <v>19</v>
      </c>
      <c r="G50" s="31" t="s">
        <v>112</v>
      </c>
      <c r="H50" s="32">
        <v>89555555.560000002</v>
      </c>
      <c r="I50" s="31"/>
      <c r="J50" s="33">
        <v>46023</v>
      </c>
      <c r="K50" s="32">
        <v>119377680.03</v>
      </c>
      <c r="L50" s="32">
        <v>1.333</v>
      </c>
      <c r="M50" s="32">
        <v>1</v>
      </c>
      <c r="N50" s="31" t="s">
        <v>113</v>
      </c>
      <c r="O50" s="34">
        <v>46155.772812499999</v>
      </c>
      <c r="P50" s="35" t="s">
        <v>103</v>
      </c>
      <c r="Q50" s="35" t="s">
        <v>70</v>
      </c>
      <c r="R50" s="33">
        <v>46063</v>
      </c>
      <c r="S50" s="30" t="s">
        <v>95</v>
      </c>
      <c r="T50" s="36">
        <v>49</v>
      </c>
      <c r="U50" s="30" t="s">
        <v>74</v>
      </c>
      <c r="V50" s="30" t="s">
        <v>73</v>
      </c>
    </row>
    <row r="51" spans="1:22" ht="90" x14ac:dyDescent="0.25">
      <c r="A51" s="30" t="s">
        <v>110</v>
      </c>
      <c r="B51" s="30" t="s">
        <v>64</v>
      </c>
      <c r="C51" s="30" t="s">
        <v>91</v>
      </c>
      <c r="D51" s="31" t="s">
        <v>111</v>
      </c>
      <c r="E51" s="30" t="s">
        <v>100</v>
      </c>
      <c r="F51" s="30" t="s">
        <v>19</v>
      </c>
      <c r="G51" s="31" t="s">
        <v>112</v>
      </c>
      <c r="H51" s="32">
        <v>179111111.11000001</v>
      </c>
      <c r="I51" s="31"/>
      <c r="J51" s="33">
        <v>46054</v>
      </c>
      <c r="K51" s="32">
        <v>222011430.58000001</v>
      </c>
      <c r="L51" s="32">
        <v>1.2395</v>
      </c>
      <c r="M51" s="32">
        <v>1</v>
      </c>
      <c r="N51" s="31" t="s">
        <v>114</v>
      </c>
      <c r="O51" s="34">
        <v>46155.773101851853</v>
      </c>
      <c r="P51" s="35" t="s">
        <v>103</v>
      </c>
      <c r="Q51" s="35" t="s">
        <v>70</v>
      </c>
      <c r="R51" s="33">
        <v>46094</v>
      </c>
      <c r="S51" s="30" t="s">
        <v>95</v>
      </c>
      <c r="T51" s="36">
        <v>50</v>
      </c>
      <c r="U51" s="30" t="s">
        <v>74</v>
      </c>
      <c r="V51" s="30" t="s">
        <v>73</v>
      </c>
    </row>
    <row r="52" spans="1:22" ht="90" x14ac:dyDescent="0.25">
      <c r="A52" s="30" t="s">
        <v>110</v>
      </c>
      <c r="B52" s="30" t="s">
        <v>64</v>
      </c>
      <c r="C52" s="30" t="s">
        <v>91</v>
      </c>
      <c r="D52" s="31" t="s">
        <v>111</v>
      </c>
      <c r="E52" s="30" t="s">
        <v>100</v>
      </c>
      <c r="F52" s="30" t="s">
        <v>19</v>
      </c>
      <c r="G52" s="31" t="s">
        <v>112</v>
      </c>
      <c r="H52" s="32">
        <v>268666666.67000002</v>
      </c>
      <c r="I52" s="31"/>
      <c r="J52" s="33">
        <v>46082</v>
      </c>
      <c r="K52" s="32">
        <v>336321887.69</v>
      </c>
      <c r="L52" s="32">
        <v>1.2518</v>
      </c>
      <c r="M52" s="32">
        <v>1</v>
      </c>
      <c r="N52" s="31" t="s">
        <v>115</v>
      </c>
      <c r="O52" s="34">
        <v>46155.773495370369</v>
      </c>
      <c r="P52" s="35" t="s">
        <v>103</v>
      </c>
      <c r="Q52" s="35" t="s">
        <v>70</v>
      </c>
      <c r="R52" s="33">
        <v>46122</v>
      </c>
      <c r="S52" s="30" t="s">
        <v>95</v>
      </c>
      <c r="T52" s="36">
        <v>51</v>
      </c>
      <c r="U52" s="30" t="s">
        <v>74</v>
      </c>
      <c r="V52" s="30" t="s">
        <v>73</v>
      </c>
    </row>
    <row r="53" spans="1:22" ht="210" x14ac:dyDescent="0.25">
      <c r="A53" s="30" t="s">
        <v>110</v>
      </c>
      <c r="B53" s="30" t="s">
        <v>64</v>
      </c>
      <c r="C53" s="30" t="s">
        <v>91</v>
      </c>
      <c r="D53" s="31" t="s">
        <v>111</v>
      </c>
      <c r="E53" s="30" t="s">
        <v>100</v>
      </c>
      <c r="F53" s="30" t="s">
        <v>19</v>
      </c>
      <c r="G53" s="31" t="s">
        <v>112</v>
      </c>
      <c r="H53" s="32">
        <v>358222222.22000003</v>
      </c>
      <c r="I53" s="31"/>
      <c r="J53" s="33">
        <v>46113</v>
      </c>
      <c r="K53" s="32">
        <v>448124522.39999998</v>
      </c>
      <c r="L53" s="32">
        <v>1.2509999999999999</v>
      </c>
      <c r="M53" s="32">
        <v>1</v>
      </c>
      <c r="N53" s="31" t="s">
        <v>116</v>
      </c>
      <c r="O53" s="34">
        <v>46204.39166666667</v>
      </c>
      <c r="P53" s="35" t="s">
        <v>103</v>
      </c>
      <c r="Q53" s="35" t="s">
        <v>70</v>
      </c>
      <c r="R53" s="33">
        <v>46153</v>
      </c>
      <c r="S53" s="30" t="s">
        <v>95</v>
      </c>
      <c r="T53" s="36">
        <v>52</v>
      </c>
      <c r="U53" s="30" t="s">
        <v>74</v>
      </c>
      <c r="V53" s="30" t="s">
        <v>73</v>
      </c>
    </row>
    <row r="54" spans="1:22" ht="210" x14ac:dyDescent="0.25">
      <c r="A54" s="30" t="s">
        <v>110</v>
      </c>
      <c r="B54" s="30" t="s">
        <v>64</v>
      </c>
      <c r="C54" s="30" t="s">
        <v>91</v>
      </c>
      <c r="D54" s="31" t="s">
        <v>111</v>
      </c>
      <c r="E54" s="30" t="s">
        <v>100</v>
      </c>
      <c r="F54" s="30" t="s">
        <v>19</v>
      </c>
      <c r="G54" s="31" t="s">
        <v>112</v>
      </c>
      <c r="H54" s="32">
        <v>447777777.77999997</v>
      </c>
      <c r="I54" s="31"/>
      <c r="J54" s="33">
        <v>46143</v>
      </c>
      <c r="K54" s="32">
        <v>562672034.99000001</v>
      </c>
      <c r="L54" s="32">
        <v>1.2565999999999999</v>
      </c>
      <c r="M54" s="32">
        <v>1</v>
      </c>
      <c r="N54" s="31" t="s">
        <v>117</v>
      </c>
      <c r="O54" s="34">
        <v>46204.391377314816</v>
      </c>
      <c r="P54" s="35" t="s">
        <v>103</v>
      </c>
      <c r="Q54" s="35" t="s">
        <v>70</v>
      </c>
      <c r="R54" s="33">
        <v>46183</v>
      </c>
      <c r="S54" s="30" t="s">
        <v>95</v>
      </c>
      <c r="T54" s="36">
        <v>53</v>
      </c>
      <c r="U54" s="30" t="s">
        <v>74</v>
      </c>
      <c r="V54" s="30" t="s">
        <v>73</v>
      </c>
    </row>
    <row r="55" spans="1:22" ht="135" x14ac:dyDescent="0.25">
      <c r="A55" s="30" t="s">
        <v>110</v>
      </c>
      <c r="B55" s="30" t="s">
        <v>64</v>
      </c>
      <c r="C55" s="30" t="s">
        <v>91</v>
      </c>
      <c r="D55" s="31" t="s">
        <v>111</v>
      </c>
      <c r="E55" s="30" t="s">
        <v>100</v>
      </c>
      <c r="F55" s="30" t="s">
        <v>19</v>
      </c>
      <c r="G55" s="31" t="s">
        <v>112</v>
      </c>
      <c r="H55" s="32">
        <v>537333333.33000004</v>
      </c>
      <c r="I55" s="31"/>
      <c r="J55" s="33">
        <v>46174</v>
      </c>
      <c r="K55" s="32">
        <v>671198521.49000001</v>
      </c>
      <c r="L55" s="32">
        <v>1.2491000000000001</v>
      </c>
      <c r="M55" s="32">
        <v>1</v>
      </c>
      <c r="N55" s="31" t="s">
        <v>118</v>
      </c>
      <c r="O55" s="34">
        <v>46219.806076388886</v>
      </c>
      <c r="P55" s="35" t="s">
        <v>103</v>
      </c>
      <c r="Q55" s="35" t="s">
        <v>70</v>
      </c>
      <c r="R55" s="33">
        <v>46214</v>
      </c>
      <c r="S55" s="30" t="s">
        <v>95</v>
      </c>
      <c r="T55" s="36">
        <v>54</v>
      </c>
      <c r="U55" s="30" t="s">
        <v>74</v>
      </c>
      <c r="V55" s="30" t="s">
        <v>73</v>
      </c>
    </row>
    <row r="56" spans="1:22" ht="135" x14ac:dyDescent="0.25">
      <c r="A56" s="30" t="s">
        <v>110</v>
      </c>
      <c r="B56" s="30" t="s">
        <v>64</v>
      </c>
      <c r="C56" s="30" t="s">
        <v>91</v>
      </c>
      <c r="D56" s="31" t="s">
        <v>111</v>
      </c>
      <c r="E56" s="30" t="s">
        <v>100</v>
      </c>
      <c r="F56" s="30" t="s">
        <v>19</v>
      </c>
      <c r="G56" s="31" t="s">
        <v>112</v>
      </c>
      <c r="H56" s="32">
        <v>626888888.88999999</v>
      </c>
      <c r="I56" s="31"/>
      <c r="J56" s="33">
        <v>46204</v>
      </c>
      <c r="K56" s="32">
        <v>780624977.57000005</v>
      </c>
      <c r="L56" s="32">
        <v>1.2452365824384199</v>
      </c>
      <c r="M56" s="32">
        <v>1</v>
      </c>
      <c r="N56" s="31" t="s">
        <v>119</v>
      </c>
      <c r="O56" s="34">
        <v>46258.607581018521</v>
      </c>
      <c r="P56" s="35" t="s">
        <v>120</v>
      </c>
      <c r="Q56" s="35" t="s">
        <v>79</v>
      </c>
      <c r="R56" s="33">
        <v>46244</v>
      </c>
      <c r="S56" s="30" t="s">
        <v>95</v>
      </c>
      <c r="T56" s="36">
        <v>55</v>
      </c>
      <c r="U56" s="30" t="s">
        <v>74</v>
      </c>
      <c r="V56" s="30" t="s">
        <v>73</v>
      </c>
    </row>
    <row r="57" spans="1:22" x14ac:dyDescent="0.25">
      <c r="A57" s="30" t="s">
        <v>110</v>
      </c>
      <c r="B57" s="30" t="s">
        <v>64</v>
      </c>
      <c r="C57" s="30" t="s">
        <v>91</v>
      </c>
      <c r="D57" s="31" t="s">
        <v>111</v>
      </c>
      <c r="E57" s="30" t="s">
        <v>100</v>
      </c>
      <c r="F57" s="30" t="s">
        <v>19</v>
      </c>
      <c r="G57" s="31" t="s">
        <v>112</v>
      </c>
      <c r="H57" s="32">
        <v>716444444.44000006</v>
      </c>
      <c r="I57" s="31"/>
      <c r="J57" s="33">
        <v>46235</v>
      </c>
      <c r="K57" s="32">
        <v>0</v>
      </c>
      <c r="L57" s="32"/>
      <c r="M57" s="32">
        <v>0</v>
      </c>
      <c r="N57" s="31"/>
      <c r="O57" s="34">
        <v>46155.755706018521</v>
      </c>
      <c r="P57" s="35" t="s">
        <v>72</v>
      </c>
      <c r="Q57" s="35" t="s">
        <v>79</v>
      </c>
      <c r="R57" s="33">
        <v>46275</v>
      </c>
      <c r="S57" s="30" t="s">
        <v>95</v>
      </c>
      <c r="T57" s="36">
        <v>56</v>
      </c>
      <c r="U57" s="30" t="s">
        <v>74</v>
      </c>
      <c r="V57" s="30" t="s">
        <v>73</v>
      </c>
    </row>
    <row r="58" spans="1:22" x14ac:dyDescent="0.25">
      <c r="A58" s="30" t="s">
        <v>110</v>
      </c>
      <c r="B58" s="30" t="s">
        <v>64</v>
      </c>
      <c r="C58" s="30" t="s">
        <v>91</v>
      </c>
      <c r="D58" s="31" t="s">
        <v>111</v>
      </c>
      <c r="E58" s="30" t="s">
        <v>100</v>
      </c>
      <c r="F58" s="30" t="s">
        <v>19</v>
      </c>
      <c r="G58" s="31" t="s">
        <v>112</v>
      </c>
      <c r="H58" s="32">
        <v>806000000</v>
      </c>
      <c r="I58" s="31"/>
      <c r="J58" s="33">
        <v>46266</v>
      </c>
      <c r="K58" s="32">
        <v>0</v>
      </c>
      <c r="L58" s="32"/>
      <c r="M58" s="32">
        <v>0</v>
      </c>
      <c r="N58" s="31"/>
      <c r="O58" s="34">
        <v>46155.75577546296</v>
      </c>
      <c r="P58" s="35" t="s">
        <v>72</v>
      </c>
      <c r="Q58" s="35" t="s">
        <v>79</v>
      </c>
      <c r="R58" s="33">
        <v>46306</v>
      </c>
      <c r="S58" s="30" t="s">
        <v>95</v>
      </c>
      <c r="T58" s="36">
        <v>57</v>
      </c>
      <c r="U58" s="30" t="s">
        <v>74</v>
      </c>
      <c r="V58" s="30" t="s">
        <v>73</v>
      </c>
    </row>
    <row r="59" spans="1:22" x14ac:dyDescent="0.25">
      <c r="A59" s="30" t="s">
        <v>110</v>
      </c>
      <c r="B59" s="30" t="s">
        <v>64</v>
      </c>
      <c r="C59" s="30" t="s">
        <v>91</v>
      </c>
      <c r="D59" s="31" t="s">
        <v>111</v>
      </c>
      <c r="E59" s="30" t="s">
        <v>100</v>
      </c>
      <c r="F59" s="30" t="s">
        <v>19</v>
      </c>
      <c r="G59" s="31" t="s">
        <v>112</v>
      </c>
      <c r="H59" s="32">
        <v>895555555.55999994</v>
      </c>
      <c r="I59" s="31"/>
      <c r="J59" s="33">
        <v>46296</v>
      </c>
      <c r="K59" s="32">
        <v>0</v>
      </c>
      <c r="L59" s="32"/>
      <c r="M59" s="32">
        <v>0</v>
      </c>
      <c r="N59" s="31"/>
      <c r="O59" s="34">
        <v>46155.755925925929</v>
      </c>
      <c r="P59" s="35" t="s">
        <v>72</v>
      </c>
      <c r="Q59" s="35" t="s">
        <v>79</v>
      </c>
      <c r="R59" s="33">
        <v>46336</v>
      </c>
      <c r="S59" s="30" t="s">
        <v>95</v>
      </c>
      <c r="T59" s="36">
        <v>58</v>
      </c>
      <c r="U59" s="30" t="s">
        <v>74</v>
      </c>
      <c r="V59" s="30" t="s">
        <v>73</v>
      </c>
    </row>
    <row r="60" spans="1:22" x14ac:dyDescent="0.25">
      <c r="A60" s="30" t="s">
        <v>110</v>
      </c>
      <c r="B60" s="30" t="s">
        <v>64</v>
      </c>
      <c r="C60" s="30" t="s">
        <v>91</v>
      </c>
      <c r="D60" s="31" t="s">
        <v>111</v>
      </c>
      <c r="E60" s="30" t="s">
        <v>100</v>
      </c>
      <c r="F60" s="30" t="s">
        <v>19</v>
      </c>
      <c r="G60" s="31" t="s">
        <v>112</v>
      </c>
      <c r="H60" s="32">
        <v>985111111.11000001</v>
      </c>
      <c r="I60" s="31"/>
      <c r="J60" s="33">
        <v>46327</v>
      </c>
      <c r="K60" s="32">
        <v>0</v>
      </c>
      <c r="L60" s="32"/>
      <c r="M60" s="32">
        <v>0</v>
      </c>
      <c r="N60" s="31"/>
      <c r="O60" s="34">
        <v>46155.75608796296</v>
      </c>
      <c r="P60" s="35" t="s">
        <v>72</v>
      </c>
      <c r="Q60" s="35" t="s">
        <v>79</v>
      </c>
      <c r="R60" s="33">
        <v>46367</v>
      </c>
      <c r="S60" s="30" t="s">
        <v>95</v>
      </c>
      <c r="T60" s="36">
        <v>59</v>
      </c>
      <c r="U60" s="30" t="s">
        <v>74</v>
      </c>
      <c r="V60" s="30" t="s">
        <v>73</v>
      </c>
    </row>
    <row r="61" spans="1:22" x14ac:dyDescent="0.25">
      <c r="A61" s="30" t="s">
        <v>110</v>
      </c>
      <c r="B61" s="30" t="s">
        <v>64</v>
      </c>
      <c r="C61" s="30" t="s">
        <v>91</v>
      </c>
      <c r="D61" s="31" t="s">
        <v>111</v>
      </c>
      <c r="E61" s="30" t="s">
        <v>100</v>
      </c>
      <c r="F61" s="30" t="s">
        <v>19</v>
      </c>
      <c r="G61" s="31" t="s">
        <v>112</v>
      </c>
      <c r="H61" s="32">
        <v>1209000000</v>
      </c>
      <c r="I61" s="31"/>
      <c r="J61" s="33">
        <v>46357</v>
      </c>
      <c r="K61" s="32">
        <v>0</v>
      </c>
      <c r="L61" s="32"/>
      <c r="M61" s="32">
        <v>0</v>
      </c>
      <c r="N61" s="31"/>
      <c r="O61" s="34">
        <v>46155.756180555552</v>
      </c>
      <c r="P61" s="35" t="s">
        <v>72</v>
      </c>
      <c r="Q61" s="35" t="s">
        <v>79</v>
      </c>
      <c r="R61" s="33">
        <v>46397</v>
      </c>
      <c r="S61" s="30" t="s">
        <v>95</v>
      </c>
      <c r="T61" s="36">
        <v>60</v>
      </c>
      <c r="U61" s="30" t="s">
        <v>74</v>
      </c>
      <c r="V61" s="30" t="s">
        <v>73</v>
      </c>
    </row>
    <row r="62" spans="1:22" ht="45" x14ac:dyDescent="0.25">
      <c r="A62" s="30" t="s">
        <v>121</v>
      </c>
      <c r="B62" s="30" t="s">
        <v>64</v>
      </c>
      <c r="C62" s="30" t="s">
        <v>122</v>
      </c>
      <c r="D62" s="31" t="s">
        <v>123</v>
      </c>
      <c r="E62" s="30" t="s">
        <v>67</v>
      </c>
      <c r="F62" s="30" t="s">
        <v>18</v>
      </c>
      <c r="G62" s="31" t="s">
        <v>124</v>
      </c>
      <c r="H62" s="32">
        <v>0</v>
      </c>
      <c r="I62" s="31"/>
      <c r="J62" s="33">
        <v>46023</v>
      </c>
      <c r="K62" s="32">
        <v>0</v>
      </c>
      <c r="L62" s="32">
        <v>0</v>
      </c>
      <c r="M62" s="32">
        <v>0</v>
      </c>
      <c r="N62" s="31" t="s">
        <v>125</v>
      </c>
      <c r="O62" s="34">
        <v>46129.695173611108</v>
      </c>
      <c r="P62" s="35" t="s">
        <v>87</v>
      </c>
      <c r="Q62" s="35" t="s">
        <v>70</v>
      </c>
      <c r="R62" s="33">
        <v>46063</v>
      </c>
      <c r="S62" s="30" t="s">
        <v>21</v>
      </c>
      <c r="T62" s="36">
        <v>61</v>
      </c>
      <c r="U62" s="30" t="s">
        <v>74</v>
      </c>
      <c r="V62" s="30" t="s">
        <v>73</v>
      </c>
    </row>
    <row r="63" spans="1:22" ht="45" x14ac:dyDescent="0.25">
      <c r="A63" s="30" t="s">
        <v>121</v>
      </c>
      <c r="B63" s="30" t="s">
        <v>64</v>
      </c>
      <c r="C63" s="30" t="s">
        <v>122</v>
      </c>
      <c r="D63" s="31" t="s">
        <v>123</v>
      </c>
      <c r="E63" s="30" t="s">
        <v>67</v>
      </c>
      <c r="F63" s="30" t="s">
        <v>18</v>
      </c>
      <c r="G63" s="31" t="s">
        <v>124</v>
      </c>
      <c r="H63" s="32">
        <v>0</v>
      </c>
      <c r="I63" s="31"/>
      <c r="J63" s="33">
        <v>46054</v>
      </c>
      <c r="K63" s="32">
        <v>0</v>
      </c>
      <c r="L63" s="32">
        <v>0</v>
      </c>
      <c r="M63" s="32">
        <v>0</v>
      </c>
      <c r="N63" s="31" t="s">
        <v>126</v>
      </c>
      <c r="O63" s="34">
        <v>46129.6953125</v>
      </c>
      <c r="P63" s="35" t="s">
        <v>87</v>
      </c>
      <c r="Q63" s="35" t="s">
        <v>70</v>
      </c>
      <c r="R63" s="33">
        <v>46094</v>
      </c>
      <c r="S63" s="30" t="s">
        <v>21</v>
      </c>
      <c r="T63" s="36">
        <v>62</v>
      </c>
      <c r="U63" s="30" t="s">
        <v>74</v>
      </c>
      <c r="V63" s="30" t="s">
        <v>73</v>
      </c>
    </row>
    <row r="64" spans="1:22" ht="75" x14ac:dyDescent="0.25">
      <c r="A64" s="30" t="s">
        <v>121</v>
      </c>
      <c r="B64" s="30" t="s">
        <v>64</v>
      </c>
      <c r="C64" s="30" t="s">
        <v>122</v>
      </c>
      <c r="D64" s="31" t="s">
        <v>123</v>
      </c>
      <c r="E64" s="30" t="s">
        <v>67</v>
      </c>
      <c r="F64" s="30" t="s">
        <v>18</v>
      </c>
      <c r="G64" s="31" t="s">
        <v>124</v>
      </c>
      <c r="H64" s="32">
        <v>0</v>
      </c>
      <c r="I64" s="31"/>
      <c r="J64" s="33">
        <v>46082</v>
      </c>
      <c r="K64" s="32">
        <v>0</v>
      </c>
      <c r="L64" s="32">
        <v>0</v>
      </c>
      <c r="M64" s="32">
        <v>0</v>
      </c>
      <c r="N64" s="31" t="s">
        <v>127</v>
      </c>
      <c r="O64" s="34">
        <v>46129.695428240739</v>
      </c>
      <c r="P64" s="35" t="s">
        <v>87</v>
      </c>
      <c r="Q64" s="35" t="s">
        <v>70</v>
      </c>
      <c r="R64" s="33">
        <v>46122</v>
      </c>
      <c r="S64" s="30" t="s">
        <v>21</v>
      </c>
      <c r="T64" s="36">
        <v>63</v>
      </c>
      <c r="U64" s="30" t="s">
        <v>74</v>
      </c>
      <c r="V64" s="30" t="s">
        <v>73</v>
      </c>
    </row>
    <row r="65" spans="1:22" ht="75" x14ac:dyDescent="0.25">
      <c r="A65" s="30" t="s">
        <v>121</v>
      </c>
      <c r="B65" s="30" t="s">
        <v>64</v>
      </c>
      <c r="C65" s="30" t="s">
        <v>122</v>
      </c>
      <c r="D65" s="31" t="s">
        <v>123</v>
      </c>
      <c r="E65" s="30" t="s">
        <v>67</v>
      </c>
      <c r="F65" s="30" t="s">
        <v>18</v>
      </c>
      <c r="G65" s="31" t="s">
        <v>124</v>
      </c>
      <c r="H65" s="32">
        <v>0</v>
      </c>
      <c r="I65" s="31"/>
      <c r="J65" s="33">
        <v>46113</v>
      </c>
      <c r="K65" s="32">
        <v>11.11</v>
      </c>
      <c r="L65" s="32">
        <v>0</v>
      </c>
      <c r="M65" s="32">
        <v>0</v>
      </c>
      <c r="N65" s="31" t="s">
        <v>128</v>
      </c>
      <c r="O65" s="34">
        <v>46219.853182870371</v>
      </c>
      <c r="P65" s="35" t="s">
        <v>76</v>
      </c>
      <c r="Q65" s="35" t="s">
        <v>79</v>
      </c>
      <c r="R65" s="33">
        <v>46153</v>
      </c>
      <c r="S65" s="30" t="s">
        <v>21</v>
      </c>
      <c r="T65" s="36">
        <v>64</v>
      </c>
      <c r="U65" s="30" t="s">
        <v>74</v>
      </c>
      <c r="V65" s="30" t="s">
        <v>73</v>
      </c>
    </row>
    <row r="66" spans="1:22" ht="75" x14ac:dyDescent="0.25">
      <c r="A66" s="30" t="s">
        <v>121</v>
      </c>
      <c r="B66" s="30" t="s">
        <v>64</v>
      </c>
      <c r="C66" s="30" t="s">
        <v>122</v>
      </c>
      <c r="D66" s="31" t="s">
        <v>123</v>
      </c>
      <c r="E66" s="30" t="s">
        <v>67</v>
      </c>
      <c r="F66" s="30" t="s">
        <v>18</v>
      </c>
      <c r="G66" s="31" t="s">
        <v>124</v>
      </c>
      <c r="H66" s="32">
        <v>0</v>
      </c>
      <c r="I66" s="31"/>
      <c r="J66" s="33">
        <v>46143</v>
      </c>
      <c r="K66" s="32">
        <v>11.11</v>
      </c>
      <c r="L66" s="32">
        <v>0</v>
      </c>
      <c r="M66" s="32">
        <v>0</v>
      </c>
      <c r="N66" s="31" t="s">
        <v>128</v>
      </c>
      <c r="O66" s="34">
        <v>46219.854675925926</v>
      </c>
      <c r="P66" s="35" t="s">
        <v>76</v>
      </c>
      <c r="Q66" s="35" t="s">
        <v>79</v>
      </c>
      <c r="R66" s="33">
        <v>46183</v>
      </c>
      <c r="S66" s="30" t="s">
        <v>21</v>
      </c>
      <c r="T66" s="36">
        <v>65</v>
      </c>
      <c r="U66" s="30" t="s">
        <v>74</v>
      </c>
      <c r="V66" s="30" t="s">
        <v>73</v>
      </c>
    </row>
    <row r="67" spans="1:22" ht="75" x14ac:dyDescent="0.25">
      <c r="A67" s="30" t="s">
        <v>121</v>
      </c>
      <c r="B67" s="30" t="s">
        <v>64</v>
      </c>
      <c r="C67" s="30" t="s">
        <v>122</v>
      </c>
      <c r="D67" s="31" t="s">
        <v>123</v>
      </c>
      <c r="E67" s="30" t="s">
        <v>67</v>
      </c>
      <c r="F67" s="30" t="s">
        <v>18</v>
      </c>
      <c r="G67" s="31" t="s">
        <v>124</v>
      </c>
      <c r="H67" s="32">
        <v>0</v>
      </c>
      <c r="I67" s="31"/>
      <c r="J67" s="33">
        <v>46174</v>
      </c>
      <c r="K67" s="32">
        <v>11.11</v>
      </c>
      <c r="L67" s="32">
        <v>0</v>
      </c>
      <c r="M67" s="32">
        <v>0</v>
      </c>
      <c r="N67" s="31" t="s">
        <v>128</v>
      </c>
      <c r="O67" s="34">
        <v>46219.854953703703</v>
      </c>
      <c r="P67" s="35" t="s">
        <v>76</v>
      </c>
      <c r="Q67" s="35" t="s">
        <v>79</v>
      </c>
      <c r="R67" s="33">
        <v>46214</v>
      </c>
      <c r="S67" s="30" t="s">
        <v>21</v>
      </c>
      <c r="T67" s="36">
        <v>66</v>
      </c>
      <c r="U67" s="30" t="s">
        <v>74</v>
      </c>
      <c r="V67" s="30" t="s">
        <v>73</v>
      </c>
    </row>
    <row r="68" spans="1:22" x14ac:dyDescent="0.25">
      <c r="A68" s="30" t="s">
        <v>121</v>
      </c>
      <c r="B68" s="30" t="s">
        <v>64</v>
      </c>
      <c r="C68" s="30" t="s">
        <v>122</v>
      </c>
      <c r="D68" s="31" t="s">
        <v>123</v>
      </c>
      <c r="E68" s="30" t="s">
        <v>67</v>
      </c>
      <c r="F68" s="30" t="s">
        <v>18</v>
      </c>
      <c r="G68" s="31" t="s">
        <v>124</v>
      </c>
      <c r="H68" s="32">
        <v>0</v>
      </c>
      <c r="I68" s="31"/>
      <c r="J68" s="33">
        <v>46204</v>
      </c>
      <c r="K68" s="32">
        <v>0</v>
      </c>
      <c r="L68" s="32"/>
      <c r="M68" s="32">
        <v>0</v>
      </c>
      <c r="N68" s="31"/>
      <c r="O68" s="34">
        <v>46100.749641203707</v>
      </c>
      <c r="P68" s="35" t="s">
        <v>72</v>
      </c>
      <c r="Q68" s="35" t="s">
        <v>79</v>
      </c>
      <c r="R68" s="33">
        <v>46244</v>
      </c>
      <c r="S68" s="30" t="s">
        <v>21</v>
      </c>
      <c r="T68" s="36">
        <v>67</v>
      </c>
      <c r="U68" s="30" t="s">
        <v>74</v>
      </c>
      <c r="V68" s="30" t="s">
        <v>73</v>
      </c>
    </row>
    <row r="69" spans="1:22" x14ac:dyDescent="0.25">
      <c r="A69" s="30" t="s">
        <v>121</v>
      </c>
      <c r="B69" s="30" t="s">
        <v>64</v>
      </c>
      <c r="C69" s="30" t="s">
        <v>122</v>
      </c>
      <c r="D69" s="31" t="s">
        <v>123</v>
      </c>
      <c r="E69" s="30" t="s">
        <v>67</v>
      </c>
      <c r="F69" s="30" t="s">
        <v>18</v>
      </c>
      <c r="G69" s="31" t="s">
        <v>124</v>
      </c>
      <c r="H69" s="32">
        <v>0</v>
      </c>
      <c r="I69" s="31"/>
      <c r="J69" s="33">
        <v>46235</v>
      </c>
      <c r="K69" s="32">
        <v>0</v>
      </c>
      <c r="L69" s="32"/>
      <c r="M69" s="32">
        <v>0</v>
      </c>
      <c r="N69" s="31"/>
      <c r="O69" s="34">
        <v>46100.749641203707</v>
      </c>
      <c r="P69" s="35" t="s">
        <v>72</v>
      </c>
      <c r="Q69" s="35" t="s">
        <v>79</v>
      </c>
      <c r="R69" s="33">
        <v>46275</v>
      </c>
      <c r="S69" s="30" t="s">
        <v>21</v>
      </c>
      <c r="T69" s="36">
        <v>68</v>
      </c>
      <c r="U69" s="30" t="s">
        <v>74</v>
      </c>
      <c r="V69" s="30" t="s">
        <v>73</v>
      </c>
    </row>
    <row r="70" spans="1:22" x14ac:dyDescent="0.25">
      <c r="A70" s="30" t="s">
        <v>121</v>
      </c>
      <c r="B70" s="30" t="s">
        <v>64</v>
      </c>
      <c r="C70" s="30" t="s">
        <v>122</v>
      </c>
      <c r="D70" s="31" t="s">
        <v>123</v>
      </c>
      <c r="E70" s="30" t="s">
        <v>67</v>
      </c>
      <c r="F70" s="30" t="s">
        <v>18</v>
      </c>
      <c r="G70" s="31" t="s">
        <v>124</v>
      </c>
      <c r="H70" s="32">
        <v>0</v>
      </c>
      <c r="I70" s="31"/>
      <c r="J70" s="33">
        <v>46266</v>
      </c>
      <c r="K70" s="32">
        <v>0</v>
      </c>
      <c r="L70" s="32"/>
      <c r="M70" s="32">
        <v>0</v>
      </c>
      <c r="N70" s="31"/>
      <c r="O70" s="34">
        <v>46100.749641203707</v>
      </c>
      <c r="P70" s="35" t="s">
        <v>72</v>
      </c>
      <c r="Q70" s="35" t="s">
        <v>79</v>
      </c>
      <c r="R70" s="33">
        <v>46306</v>
      </c>
      <c r="S70" s="30" t="s">
        <v>21</v>
      </c>
      <c r="T70" s="36">
        <v>69</v>
      </c>
      <c r="U70" s="30" t="s">
        <v>74</v>
      </c>
      <c r="V70" s="30" t="s">
        <v>73</v>
      </c>
    </row>
    <row r="71" spans="1:22" x14ac:dyDescent="0.25">
      <c r="A71" s="30" t="s">
        <v>121</v>
      </c>
      <c r="B71" s="30" t="s">
        <v>64</v>
      </c>
      <c r="C71" s="30" t="s">
        <v>122</v>
      </c>
      <c r="D71" s="31" t="s">
        <v>123</v>
      </c>
      <c r="E71" s="30" t="s">
        <v>67</v>
      </c>
      <c r="F71" s="30" t="s">
        <v>18</v>
      </c>
      <c r="G71" s="31" t="s">
        <v>124</v>
      </c>
      <c r="H71" s="32">
        <v>0</v>
      </c>
      <c r="I71" s="31"/>
      <c r="J71" s="33">
        <v>46296</v>
      </c>
      <c r="K71" s="32">
        <v>0</v>
      </c>
      <c r="L71" s="32"/>
      <c r="M71" s="32">
        <v>0</v>
      </c>
      <c r="N71" s="31"/>
      <c r="O71" s="34">
        <v>46100.749641203707</v>
      </c>
      <c r="P71" s="35" t="s">
        <v>72</v>
      </c>
      <c r="Q71" s="35" t="s">
        <v>79</v>
      </c>
      <c r="R71" s="33">
        <v>46336</v>
      </c>
      <c r="S71" s="30" t="s">
        <v>21</v>
      </c>
      <c r="T71" s="36">
        <v>70</v>
      </c>
      <c r="U71" s="30" t="s">
        <v>74</v>
      </c>
      <c r="V71" s="30" t="s">
        <v>73</v>
      </c>
    </row>
    <row r="72" spans="1:22" x14ac:dyDescent="0.25">
      <c r="A72" s="30" t="s">
        <v>121</v>
      </c>
      <c r="B72" s="30" t="s">
        <v>64</v>
      </c>
      <c r="C72" s="30" t="s">
        <v>122</v>
      </c>
      <c r="D72" s="31" t="s">
        <v>123</v>
      </c>
      <c r="E72" s="30" t="s">
        <v>67</v>
      </c>
      <c r="F72" s="30" t="s">
        <v>18</v>
      </c>
      <c r="G72" s="31" t="s">
        <v>124</v>
      </c>
      <c r="H72" s="32">
        <v>0</v>
      </c>
      <c r="I72" s="31"/>
      <c r="J72" s="33">
        <v>46327</v>
      </c>
      <c r="K72" s="32">
        <v>0</v>
      </c>
      <c r="L72" s="32"/>
      <c r="M72" s="32">
        <v>0</v>
      </c>
      <c r="N72" s="31"/>
      <c r="O72" s="34">
        <v>46100.749641203707</v>
      </c>
      <c r="P72" s="35" t="s">
        <v>72</v>
      </c>
      <c r="Q72" s="35" t="s">
        <v>79</v>
      </c>
      <c r="R72" s="33">
        <v>46367</v>
      </c>
      <c r="S72" s="30" t="s">
        <v>21</v>
      </c>
      <c r="T72" s="36">
        <v>71</v>
      </c>
      <c r="U72" s="30" t="s">
        <v>74</v>
      </c>
      <c r="V72" s="30" t="s">
        <v>73</v>
      </c>
    </row>
    <row r="73" spans="1:22" x14ac:dyDescent="0.25">
      <c r="A73" s="30" t="s">
        <v>121</v>
      </c>
      <c r="B73" s="30" t="s">
        <v>64</v>
      </c>
      <c r="C73" s="30" t="s">
        <v>122</v>
      </c>
      <c r="D73" s="31" t="s">
        <v>123</v>
      </c>
      <c r="E73" s="30" t="s">
        <v>67</v>
      </c>
      <c r="F73" s="30" t="s">
        <v>18</v>
      </c>
      <c r="G73" s="31" t="s">
        <v>124</v>
      </c>
      <c r="H73" s="32">
        <v>1</v>
      </c>
      <c r="I73" s="31"/>
      <c r="J73" s="33">
        <v>46357</v>
      </c>
      <c r="K73" s="32">
        <v>0</v>
      </c>
      <c r="L73" s="32"/>
      <c r="M73" s="32">
        <v>0</v>
      </c>
      <c r="N73" s="31"/>
      <c r="O73" s="34">
        <v>46100.749641203707</v>
      </c>
      <c r="P73" s="35" t="s">
        <v>72</v>
      </c>
      <c r="Q73" s="35" t="s">
        <v>79</v>
      </c>
      <c r="R73" s="33">
        <v>46397</v>
      </c>
      <c r="S73" s="30" t="s">
        <v>21</v>
      </c>
      <c r="T73" s="36">
        <v>72</v>
      </c>
      <c r="U73" s="30" t="s">
        <v>74</v>
      </c>
      <c r="V73" s="30" t="s">
        <v>73</v>
      </c>
    </row>
    <row r="74" spans="1:22" ht="255" x14ac:dyDescent="0.25">
      <c r="A74" s="30" t="s">
        <v>129</v>
      </c>
      <c r="B74" s="30" t="s">
        <v>64</v>
      </c>
      <c r="C74" s="30" t="s">
        <v>130</v>
      </c>
      <c r="D74" s="31" t="s">
        <v>131</v>
      </c>
      <c r="E74" s="30" t="s">
        <v>132</v>
      </c>
      <c r="F74" s="30" t="s">
        <v>15</v>
      </c>
      <c r="G74" s="31" t="s">
        <v>133</v>
      </c>
      <c r="H74" s="32">
        <v>0</v>
      </c>
      <c r="I74" s="31"/>
      <c r="J74" s="33">
        <v>46023</v>
      </c>
      <c r="K74" s="32">
        <v>0</v>
      </c>
      <c r="L74" s="32">
        <v>0</v>
      </c>
      <c r="M74" s="32">
        <v>0</v>
      </c>
      <c r="N74" s="31" t="s">
        <v>134</v>
      </c>
      <c r="O74" s="34">
        <v>46128.689456018517</v>
      </c>
      <c r="P74" s="35" t="s">
        <v>135</v>
      </c>
      <c r="Q74" s="35" t="s">
        <v>70</v>
      </c>
      <c r="R74" s="33">
        <v>46063</v>
      </c>
      <c r="S74" s="30" t="s">
        <v>85</v>
      </c>
      <c r="T74" s="36">
        <v>73</v>
      </c>
      <c r="U74" s="30" t="s">
        <v>74</v>
      </c>
      <c r="V74" s="30" t="s">
        <v>73</v>
      </c>
    </row>
    <row r="75" spans="1:22" ht="210" x14ac:dyDescent="0.25">
      <c r="A75" s="30" t="s">
        <v>129</v>
      </c>
      <c r="B75" s="30" t="s">
        <v>64</v>
      </c>
      <c r="C75" s="30" t="s">
        <v>130</v>
      </c>
      <c r="D75" s="31" t="s">
        <v>131</v>
      </c>
      <c r="E75" s="30" t="s">
        <v>132</v>
      </c>
      <c r="F75" s="30" t="s">
        <v>15</v>
      </c>
      <c r="G75" s="31" t="s">
        <v>133</v>
      </c>
      <c r="H75" s="32">
        <v>0</v>
      </c>
      <c r="I75" s="31"/>
      <c r="J75" s="33">
        <v>46054</v>
      </c>
      <c r="K75" s="32">
        <v>0</v>
      </c>
      <c r="L75" s="32">
        <v>0</v>
      </c>
      <c r="M75" s="32">
        <v>0</v>
      </c>
      <c r="N75" s="31" t="s">
        <v>136</v>
      </c>
      <c r="O75" s="34">
        <v>46128.68990740741</v>
      </c>
      <c r="P75" s="35" t="s">
        <v>135</v>
      </c>
      <c r="Q75" s="35" t="s">
        <v>70</v>
      </c>
      <c r="R75" s="33">
        <v>46094</v>
      </c>
      <c r="S75" s="30" t="s">
        <v>85</v>
      </c>
      <c r="T75" s="36">
        <v>74</v>
      </c>
      <c r="U75" s="30" t="s">
        <v>74</v>
      </c>
      <c r="V75" s="30" t="s">
        <v>73</v>
      </c>
    </row>
    <row r="76" spans="1:22" ht="60" x14ac:dyDescent="0.25">
      <c r="A76" s="30" t="s">
        <v>129</v>
      </c>
      <c r="B76" s="30" t="s">
        <v>64</v>
      </c>
      <c r="C76" s="30" t="s">
        <v>130</v>
      </c>
      <c r="D76" s="31" t="s">
        <v>131</v>
      </c>
      <c r="E76" s="30" t="s">
        <v>132</v>
      </c>
      <c r="F76" s="30" t="s">
        <v>15</v>
      </c>
      <c r="G76" s="31" t="s">
        <v>133</v>
      </c>
      <c r="H76" s="32">
        <v>0</v>
      </c>
      <c r="I76" s="31"/>
      <c r="J76" s="33">
        <v>46082</v>
      </c>
      <c r="K76" s="32">
        <v>0</v>
      </c>
      <c r="L76" s="32">
        <v>0</v>
      </c>
      <c r="M76" s="32">
        <v>0</v>
      </c>
      <c r="N76" s="31" t="s">
        <v>137</v>
      </c>
      <c r="O76" s="34">
        <v>46128.690254629626</v>
      </c>
      <c r="P76" s="35" t="s">
        <v>135</v>
      </c>
      <c r="Q76" s="35" t="s">
        <v>70</v>
      </c>
      <c r="R76" s="33">
        <v>46122</v>
      </c>
      <c r="S76" s="30" t="s">
        <v>85</v>
      </c>
      <c r="T76" s="36">
        <v>75</v>
      </c>
      <c r="U76" s="30" t="s">
        <v>74</v>
      </c>
      <c r="V76" s="30" t="s">
        <v>73</v>
      </c>
    </row>
    <row r="77" spans="1:22" ht="60" x14ac:dyDescent="0.25">
      <c r="A77" s="30" t="s">
        <v>129</v>
      </c>
      <c r="B77" s="30" t="s">
        <v>64</v>
      </c>
      <c r="C77" s="30" t="s">
        <v>130</v>
      </c>
      <c r="D77" s="31" t="s">
        <v>131</v>
      </c>
      <c r="E77" s="30" t="s">
        <v>132</v>
      </c>
      <c r="F77" s="30" t="s">
        <v>15</v>
      </c>
      <c r="G77" s="31" t="s">
        <v>133</v>
      </c>
      <c r="H77" s="32">
        <v>0</v>
      </c>
      <c r="I77" s="31"/>
      <c r="J77" s="33">
        <v>46113</v>
      </c>
      <c r="K77" s="32">
        <v>0</v>
      </c>
      <c r="L77" s="32">
        <v>0</v>
      </c>
      <c r="M77" s="32">
        <v>0</v>
      </c>
      <c r="N77" s="31" t="s">
        <v>138</v>
      </c>
      <c r="O77" s="34">
        <v>46164.649004629631</v>
      </c>
      <c r="P77" s="35" t="s">
        <v>139</v>
      </c>
      <c r="Q77" s="35" t="s">
        <v>79</v>
      </c>
      <c r="R77" s="33">
        <v>46153</v>
      </c>
      <c r="S77" s="30" t="s">
        <v>85</v>
      </c>
      <c r="T77" s="36">
        <v>76</v>
      </c>
      <c r="U77" s="30" t="s">
        <v>74</v>
      </c>
      <c r="V77" s="30" t="s">
        <v>73</v>
      </c>
    </row>
    <row r="78" spans="1:22" ht="30" x14ac:dyDescent="0.25">
      <c r="A78" s="30" t="s">
        <v>129</v>
      </c>
      <c r="B78" s="30" t="s">
        <v>64</v>
      </c>
      <c r="C78" s="30" t="s">
        <v>130</v>
      </c>
      <c r="D78" s="31" t="s">
        <v>131</v>
      </c>
      <c r="E78" s="30" t="s">
        <v>132</v>
      </c>
      <c r="F78" s="30" t="s">
        <v>15</v>
      </c>
      <c r="G78" s="31" t="s">
        <v>133</v>
      </c>
      <c r="H78" s="32">
        <v>0</v>
      </c>
      <c r="I78" s="31"/>
      <c r="J78" s="33">
        <v>46143</v>
      </c>
      <c r="K78" s="32">
        <v>0</v>
      </c>
      <c r="L78" s="32">
        <v>0</v>
      </c>
      <c r="M78" s="32">
        <v>0</v>
      </c>
      <c r="N78" s="31" t="s">
        <v>140</v>
      </c>
      <c r="O78" s="34">
        <v>46164.65011574074</v>
      </c>
      <c r="P78" s="35" t="s">
        <v>139</v>
      </c>
      <c r="Q78" s="35" t="s">
        <v>79</v>
      </c>
      <c r="R78" s="33">
        <v>46183</v>
      </c>
      <c r="S78" s="30" t="s">
        <v>85</v>
      </c>
      <c r="T78" s="36">
        <v>77</v>
      </c>
      <c r="U78" s="30" t="s">
        <v>74</v>
      </c>
      <c r="V78" s="30" t="s">
        <v>73</v>
      </c>
    </row>
    <row r="79" spans="1:22" ht="105" x14ac:dyDescent="0.25">
      <c r="A79" s="30" t="s">
        <v>129</v>
      </c>
      <c r="B79" s="30" t="s">
        <v>64</v>
      </c>
      <c r="C79" s="30" t="s">
        <v>130</v>
      </c>
      <c r="D79" s="31" t="s">
        <v>131</v>
      </c>
      <c r="E79" s="30" t="s">
        <v>132</v>
      </c>
      <c r="F79" s="30" t="s">
        <v>15</v>
      </c>
      <c r="G79" s="31" t="s">
        <v>133</v>
      </c>
      <c r="H79" s="32">
        <v>0</v>
      </c>
      <c r="I79" s="31"/>
      <c r="J79" s="33">
        <v>46174</v>
      </c>
      <c r="K79" s="32">
        <v>0</v>
      </c>
      <c r="L79" s="32">
        <v>0</v>
      </c>
      <c r="M79" s="32">
        <v>0</v>
      </c>
      <c r="N79" s="31" t="s">
        <v>141</v>
      </c>
      <c r="O79" s="34">
        <v>46220.461527777778</v>
      </c>
      <c r="P79" s="35" t="s">
        <v>135</v>
      </c>
      <c r="Q79" s="35" t="s">
        <v>70</v>
      </c>
      <c r="R79" s="33">
        <v>46214</v>
      </c>
      <c r="S79" s="30" t="s">
        <v>85</v>
      </c>
      <c r="T79" s="36">
        <v>78</v>
      </c>
      <c r="U79" s="30" t="s">
        <v>74</v>
      </c>
      <c r="V79" s="30" t="s">
        <v>73</v>
      </c>
    </row>
    <row r="80" spans="1:22" x14ac:dyDescent="0.25">
      <c r="A80" s="30" t="s">
        <v>129</v>
      </c>
      <c r="B80" s="30" t="s">
        <v>64</v>
      </c>
      <c r="C80" s="30" t="s">
        <v>130</v>
      </c>
      <c r="D80" s="31" t="s">
        <v>131</v>
      </c>
      <c r="E80" s="30" t="s">
        <v>132</v>
      </c>
      <c r="F80" s="30" t="s">
        <v>15</v>
      </c>
      <c r="G80" s="31" t="s">
        <v>133</v>
      </c>
      <c r="H80" s="32">
        <v>0</v>
      </c>
      <c r="I80" s="31"/>
      <c r="J80" s="33">
        <v>46204</v>
      </c>
      <c r="K80" s="32">
        <v>0</v>
      </c>
      <c r="L80" s="32"/>
      <c r="M80" s="32">
        <v>0</v>
      </c>
      <c r="N80" s="31"/>
      <c r="O80" s="34">
        <v>46100.749652777777</v>
      </c>
      <c r="P80" s="35" t="s">
        <v>72</v>
      </c>
      <c r="Q80" s="35" t="s">
        <v>79</v>
      </c>
      <c r="R80" s="33">
        <v>46244</v>
      </c>
      <c r="S80" s="30" t="s">
        <v>85</v>
      </c>
      <c r="T80" s="36">
        <v>79</v>
      </c>
      <c r="U80" s="30" t="s">
        <v>74</v>
      </c>
      <c r="V80" s="30" t="s">
        <v>73</v>
      </c>
    </row>
    <row r="81" spans="1:22" x14ac:dyDescent="0.25">
      <c r="A81" s="30" t="s">
        <v>129</v>
      </c>
      <c r="B81" s="30" t="s">
        <v>64</v>
      </c>
      <c r="C81" s="30" t="s">
        <v>130</v>
      </c>
      <c r="D81" s="31" t="s">
        <v>131</v>
      </c>
      <c r="E81" s="30" t="s">
        <v>132</v>
      </c>
      <c r="F81" s="30" t="s">
        <v>15</v>
      </c>
      <c r="G81" s="31" t="s">
        <v>133</v>
      </c>
      <c r="H81" s="32">
        <v>0</v>
      </c>
      <c r="I81" s="31"/>
      <c r="J81" s="33">
        <v>46235</v>
      </c>
      <c r="K81" s="32">
        <v>0</v>
      </c>
      <c r="L81" s="32"/>
      <c r="M81" s="32">
        <v>0</v>
      </c>
      <c r="N81" s="31"/>
      <c r="O81" s="34">
        <v>46100.749652777777</v>
      </c>
      <c r="P81" s="35" t="s">
        <v>72</v>
      </c>
      <c r="Q81" s="35" t="s">
        <v>79</v>
      </c>
      <c r="R81" s="33">
        <v>46275</v>
      </c>
      <c r="S81" s="30" t="s">
        <v>85</v>
      </c>
      <c r="T81" s="36">
        <v>80</v>
      </c>
      <c r="U81" s="30" t="s">
        <v>74</v>
      </c>
      <c r="V81" s="30" t="s">
        <v>73</v>
      </c>
    </row>
    <row r="82" spans="1:22" x14ac:dyDescent="0.25">
      <c r="A82" s="30" t="s">
        <v>129</v>
      </c>
      <c r="B82" s="30" t="s">
        <v>64</v>
      </c>
      <c r="C82" s="30" t="s">
        <v>130</v>
      </c>
      <c r="D82" s="31" t="s">
        <v>131</v>
      </c>
      <c r="E82" s="30" t="s">
        <v>132</v>
      </c>
      <c r="F82" s="30" t="s">
        <v>15</v>
      </c>
      <c r="G82" s="31" t="s">
        <v>133</v>
      </c>
      <c r="H82" s="32">
        <v>0</v>
      </c>
      <c r="I82" s="31"/>
      <c r="J82" s="33">
        <v>46266</v>
      </c>
      <c r="K82" s="32">
        <v>0</v>
      </c>
      <c r="L82" s="32"/>
      <c r="M82" s="32">
        <v>0</v>
      </c>
      <c r="N82" s="31"/>
      <c r="O82" s="34">
        <v>46100.749652777777</v>
      </c>
      <c r="P82" s="35" t="s">
        <v>72</v>
      </c>
      <c r="Q82" s="35" t="s">
        <v>79</v>
      </c>
      <c r="R82" s="33">
        <v>46306</v>
      </c>
      <c r="S82" s="30" t="s">
        <v>85</v>
      </c>
      <c r="T82" s="36">
        <v>81</v>
      </c>
      <c r="U82" s="30" t="s">
        <v>74</v>
      </c>
      <c r="V82" s="30" t="s">
        <v>73</v>
      </c>
    </row>
    <row r="83" spans="1:22" x14ac:dyDescent="0.25">
      <c r="A83" s="30" t="s">
        <v>129</v>
      </c>
      <c r="B83" s="30" t="s">
        <v>64</v>
      </c>
      <c r="C83" s="30" t="s">
        <v>130</v>
      </c>
      <c r="D83" s="31" t="s">
        <v>131</v>
      </c>
      <c r="E83" s="30" t="s">
        <v>132</v>
      </c>
      <c r="F83" s="30" t="s">
        <v>15</v>
      </c>
      <c r="G83" s="31" t="s">
        <v>133</v>
      </c>
      <c r="H83" s="32">
        <v>0</v>
      </c>
      <c r="I83" s="31"/>
      <c r="J83" s="33">
        <v>46296</v>
      </c>
      <c r="K83" s="32">
        <v>0</v>
      </c>
      <c r="L83" s="32"/>
      <c r="M83" s="32">
        <v>0</v>
      </c>
      <c r="N83" s="31"/>
      <c r="O83" s="34">
        <v>46100.749664351853</v>
      </c>
      <c r="P83" s="35" t="s">
        <v>72</v>
      </c>
      <c r="Q83" s="35" t="s">
        <v>79</v>
      </c>
      <c r="R83" s="33">
        <v>46336</v>
      </c>
      <c r="S83" s="30" t="s">
        <v>85</v>
      </c>
      <c r="T83" s="36">
        <v>82</v>
      </c>
      <c r="U83" s="30" t="s">
        <v>74</v>
      </c>
      <c r="V83" s="30" t="s">
        <v>73</v>
      </c>
    </row>
    <row r="84" spans="1:22" x14ac:dyDescent="0.25">
      <c r="A84" s="30" t="s">
        <v>129</v>
      </c>
      <c r="B84" s="30" t="s">
        <v>64</v>
      </c>
      <c r="C84" s="30" t="s">
        <v>130</v>
      </c>
      <c r="D84" s="31" t="s">
        <v>131</v>
      </c>
      <c r="E84" s="30" t="s">
        <v>132</v>
      </c>
      <c r="F84" s="30" t="s">
        <v>15</v>
      </c>
      <c r="G84" s="31" t="s">
        <v>133</v>
      </c>
      <c r="H84" s="32">
        <v>0</v>
      </c>
      <c r="I84" s="31"/>
      <c r="J84" s="33">
        <v>46327</v>
      </c>
      <c r="K84" s="32">
        <v>0</v>
      </c>
      <c r="L84" s="32"/>
      <c r="M84" s="32">
        <v>0</v>
      </c>
      <c r="N84" s="31"/>
      <c r="O84" s="34">
        <v>46100.749664351853</v>
      </c>
      <c r="P84" s="35" t="s">
        <v>72</v>
      </c>
      <c r="Q84" s="35" t="s">
        <v>79</v>
      </c>
      <c r="R84" s="33">
        <v>46367</v>
      </c>
      <c r="S84" s="30" t="s">
        <v>85</v>
      </c>
      <c r="T84" s="36">
        <v>83</v>
      </c>
      <c r="U84" s="30" t="s">
        <v>74</v>
      </c>
      <c r="V84" s="30" t="s">
        <v>73</v>
      </c>
    </row>
    <row r="85" spans="1:22" x14ac:dyDescent="0.25">
      <c r="A85" s="30" t="s">
        <v>129</v>
      </c>
      <c r="B85" s="30" t="s">
        <v>64</v>
      </c>
      <c r="C85" s="30" t="s">
        <v>130</v>
      </c>
      <c r="D85" s="31" t="s">
        <v>131</v>
      </c>
      <c r="E85" s="30" t="s">
        <v>132</v>
      </c>
      <c r="F85" s="30" t="s">
        <v>15</v>
      </c>
      <c r="G85" s="31" t="s">
        <v>133</v>
      </c>
      <c r="H85" s="32">
        <v>60</v>
      </c>
      <c r="I85" s="31"/>
      <c r="J85" s="33">
        <v>46357</v>
      </c>
      <c r="K85" s="32">
        <v>0</v>
      </c>
      <c r="L85" s="32"/>
      <c r="M85" s="32">
        <v>0</v>
      </c>
      <c r="N85" s="31"/>
      <c r="O85" s="34">
        <v>46100.749664351853</v>
      </c>
      <c r="P85" s="35" t="s">
        <v>72</v>
      </c>
      <c r="Q85" s="35" t="s">
        <v>79</v>
      </c>
      <c r="R85" s="33">
        <v>46397</v>
      </c>
      <c r="S85" s="30" t="s">
        <v>85</v>
      </c>
      <c r="T85" s="36">
        <v>84</v>
      </c>
      <c r="U85" s="30" t="s">
        <v>74</v>
      </c>
      <c r="V85" s="30" t="s">
        <v>73</v>
      </c>
    </row>
    <row r="86" spans="1:22" ht="45" x14ac:dyDescent="0.25">
      <c r="A86" s="30" t="s">
        <v>142</v>
      </c>
      <c r="B86" s="30" t="s">
        <v>64</v>
      </c>
      <c r="C86" s="30" t="s">
        <v>143</v>
      </c>
      <c r="D86" s="31" t="s">
        <v>144</v>
      </c>
      <c r="E86" s="30" t="s">
        <v>145</v>
      </c>
      <c r="F86" s="30" t="s">
        <v>18</v>
      </c>
      <c r="G86" s="31" t="s">
        <v>144</v>
      </c>
      <c r="H86" s="32">
        <v>0</v>
      </c>
      <c r="I86" s="31"/>
      <c r="J86" s="33">
        <v>46023</v>
      </c>
      <c r="K86" s="32">
        <v>0</v>
      </c>
      <c r="L86" s="32">
        <v>0</v>
      </c>
      <c r="M86" s="32">
        <v>0</v>
      </c>
      <c r="N86" s="31" t="s">
        <v>146</v>
      </c>
      <c r="O86" s="34">
        <v>46129.695810185185</v>
      </c>
      <c r="P86" s="35" t="s">
        <v>87</v>
      </c>
      <c r="Q86" s="35" t="s">
        <v>70</v>
      </c>
      <c r="R86" s="33">
        <v>46063</v>
      </c>
      <c r="S86" s="30" t="s">
        <v>85</v>
      </c>
      <c r="T86" s="36">
        <v>85</v>
      </c>
      <c r="U86" s="30" t="s">
        <v>74</v>
      </c>
      <c r="V86" s="30" t="s">
        <v>73</v>
      </c>
    </row>
    <row r="87" spans="1:22" ht="45" x14ac:dyDescent="0.25">
      <c r="A87" s="30" t="s">
        <v>142</v>
      </c>
      <c r="B87" s="30" t="s">
        <v>64</v>
      </c>
      <c r="C87" s="30" t="s">
        <v>143</v>
      </c>
      <c r="D87" s="31" t="s">
        <v>144</v>
      </c>
      <c r="E87" s="30" t="s">
        <v>145</v>
      </c>
      <c r="F87" s="30" t="s">
        <v>18</v>
      </c>
      <c r="G87" s="31" t="s">
        <v>144</v>
      </c>
      <c r="H87" s="32">
        <v>0</v>
      </c>
      <c r="I87" s="31"/>
      <c r="J87" s="33">
        <v>46054</v>
      </c>
      <c r="K87" s="32">
        <v>0</v>
      </c>
      <c r="L87" s="32">
        <v>0</v>
      </c>
      <c r="M87" s="32">
        <v>0</v>
      </c>
      <c r="N87" s="31" t="s">
        <v>146</v>
      </c>
      <c r="O87" s="34">
        <v>46129.69568287037</v>
      </c>
      <c r="P87" s="35" t="s">
        <v>87</v>
      </c>
      <c r="Q87" s="35" t="s">
        <v>70</v>
      </c>
      <c r="R87" s="33">
        <v>46094</v>
      </c>
      <c r="S87" s="30" t="s">
        <v>85</v>
      </c>
      <c r="T87" s="36">
        <v>86</v>
      </c>
      <c r="U87" s="30" t="s">
        <v>74</v>
      </c>
      <c r="V87" s="30" t="s">
        <v>73</v>
      </c>
    </row>
    <row r="88" spans="1:22" ht="45" x14ac:dyDescent="0.25">
      <c r="A88" s="30" t="s">
        <v>142</v>
      </c>
      <c r="B88" s="30" t="s">
        <v>64</v>
      </c>
      <c r="C88" s="30" t="s">
        <v>143</v>
      </c>
      <c r="D88" s="31" t="s">
        <v>144</v>
      </c>
      <c r="E88" s="30" t="s">
        <v>145</v>
      </c>
      <c r="F88" s="30" t="s">
        <v>18</v>
      </c>
      <c r="G88" s="31" t="s">
        <v>144</v>
      </c>
      <c r="H88" s="32">
        <v>0</v>
      </c>
      <c r="I88" s="31"/>
      <c r="J88" s="33">
        <v>46082</v>
      </c>
      <c r="K88" s="32">
        <v>0</v>
      </c>
      <c r="L88" s="32">
        <v>0</v>
      </c>
      <c r="M88" s="32">
        <v>0</v>
      </c>
      <c r="N88" s="31" t="s">
        <v>146</v>
      </c>
      <c r="O88" s="34">
        <v>46129.695555555554</v>
      </c>
      <c r="P88" s="35" t="s">
        <v>87</v>
      </c>
      <c r="Q88" s="35" t="s">
        <v>70</v>
      </c>
      <c r="R88" s="33">
        <v>46122</v>
      </c>
      <c r="S88" s="30" t="s">
        <v>85</v>
      </c>
      <c r="T88" s="36">
        <v>87</v>
      </c>
      <c r="U88" s="30" t="s">
        <v>74</v>
      </c>
      <c r="V88" s="30" t="s">
        <v>73</v>
      </c>
    </row>
    <row r="89" spans="1:22" ht="75" x14ac:dyDescent="0.25">
      <c r="A89" s="30" t="s">
        <v>142</v>
      </c>
      <c r="B89" s="30" t="s">
        <v>64</v>
      </c>
      <c r="C89" s="30" t="s">
        <v>143</v>
      </c>
      <c r="D89" s="31" t="s">
        <v>144</v>
      </c>
      <c r="E89" s="30" t="s">
        <v>145</v>
      </c>
      <c r="F89" s="30" t="s">
        <v>18</v>
      </c>
      <c r="G89" s="31" t="s">
        <v>144</v>
      </c>
      <c r="H89" s="32">
        <v>0</v>
      </c>
      <c r="I89" s="31"/>
      <c r="J89" s="33">
        <v>46113</v>
      </c>
      <c r="K89" s="32">
        <v>0</v>
      </c>
      <c r="L89" s="32">
        <v>0</v>
      </c>
      <c r="M89" s="32">
        <v>0</v>
      </c>
      <c r="N89" s="31" t="s">
        <v>147</v>
      </c>
      <c r="O89" s="34">
        <v>46220.742881944447</v>
      </c>
      <c r="P89" s="35" t="s">
        <v>76</v>
      </c>
      <c r="Q89" s="35" t="s">
        <v>79</v>
      </c>
      <c r="R89" s="33">
        <v>46153</v>
      </c>
      <c r="S89" s="30" t="s">
        <v>85</v>
      </c>
      <c r="T89" s="36">
        <v>88</v>
      </c>
      <c r="U89" s="30" t="s">
        <v>74</v>
      </c>
      <c r="V89" s="30" t="s">
        <v>73</v>
      </c>
    </row>
    <row r="90" spans="1:22" ht="75" x14ac:dyDescent="0.25">
      <c r="A90" s="30" t="s">
        <v>142</v>
      </c>
      <c r="B90" s="30" t="s">
        <v>64</v>
      </c>
      <c r="C90" s="30" t="s">
        <v>143</v>
      </c>
      <c r="D90" s="31" t="s">
        <v>144</v>
      </c>
      <c r="E90" s="30" t="s">
        <v>145</v>
      </c>
      <c r="F90" s="30" t="s">
        <v>18</v>
      </c>
      <c r="G90" s="31" t="s">
        <v>144</v>
      </c>
      <c r="H90" s="32">
        <v>0</v>
      </c>
      <c r="I90" s="31"/>
      <c r="J90" s="33">
        <v>46143</v>
      </c>
      <c r="K90" s="32">
        <v>0</v>
      </c>
      <c r="L90" s="32">
        <v>0</v>
      </c>
      <c r="M90" s="32">
        <v>0</v>
      </c>
      <c r="N90" s="31" t="s">
        <v>147</v>
      </c>
      <c r="O90" s="34">
        <v>46220.743784722225</v>
      </c>
      <c r="P90" s="35" t="s">
        <v>76</v>
      </c>
      <c r="Q90" s="35" t="s">
        <v>79</v>
      </c>
      <c r="R90" s="33">
        <v>46183</v>
      </c>
      <c r="S90" s="30" t="s">
        <v>85</v>
      </c>
      <c r="T90" s="36">
        <v>89</v>
      </c>
      <c r="U90" s="30" t="s">
        <v>74</v>
      </c>
      <c r="V90" s="30" t="s">
        <v>73</v>
      </c>
    </row>
    <row r="91" spans="1:22" ht="75" x14ac:dyDescent="0.25">
      <c r="A91" s="30" t="s">
        <v>142</v>
      </c>
      <c r="B91" s="30" t="s">
        <v>64</v>
      </c>
      <c r="C91" s="30" t="s">
        <v>143</v>
      </c>
      <c r="D91" s="31" t="s">
        <v>144</v>
      </c>
      <c r="E91" s="30" t="s">
        <v>145</v>
      </c>
      <c r="F91" s="30" t="s">
        <v>18</v>
      </c>
      <c r="G91" s="31" t="s">
        <v>144</v>
      </c>
      <c r="H91" s="32">
        <v>1</v>
      </c>
      <c r="I91" s="31"/>
      <c r="J91" s="33">
        <v>46174</v>
      </c>
      <c r="K91" s="32">
        <v>0</v>
      </c>
      <c r="L91" s="32">
        <v>0</v>
      </c>
      <c r="M91" s="32">
        <v>0</v>
      </c>
      <c r="N91" s="31" t="s">
        <v>147</v>
      </c>
      <c r="O91" s="34">
        <v>46220.743993055556</v>
      </c>
      <c r="P91" s="35" t="s">
        <v>76</v>
      </c>
      <c r="Q91" s="35" t="s">
        <v>79</v>
      </c>
      <c r="R91" s="33">
        <v>46214</v>
      </c>
      <c r="S91" s="30" t="s">
        <v>85</v>
      </c>
      <c r="T91" s="36">
        <v>90</v>
      </c>
      <c r="U91" s="30" t="s">
        <v>74</v>
      </c>
      <c r="V91" s="30" t="s">
        <v>73</v>
      </c>
    </row>
    <row r="92" spans="1:22" x14ac:dyDescent="0.25">
      <c r="A92" s="30" t="s">
        <v>142</v>
      </c>
      <c r="B92" s="30" t="s">
        <v>64</v>
      </c>
      <c r="C92" s="30" t="s">
        <v>143</v>
      </c>
      <c r="D92" s="31" t="s">
        <v>144</v>
      </c>
      <c r="E92" s="30" t="s">
        <v>145</v>
      </c>
      <c r="F92" s="30" t="s">
        <v>18</v>
      </c>
      <c r="G92" s="31" t="s">
        <v>144</v>
      </c>
      <c r="H92" s="32">
        <v>1</v>
      </c>
      <c r="I92" s="31"/>
      <c r="J92" s="33">
        <v>46204</v>
      </c>
      <c r="K92" s="32">
        <v>0</v>
      </c>
      <c r="L92" s="32"/>
      <c r="M92" s="32">
        <v>0</v>
      </c>
      <c r="N92" s="31"/>
      <c r="O92" s="34">
        <v>46100.749675925923</v>
      </c>
      <c r="P92" s="35" t="s">
        <v>72</v>
      </c>
      <c r="Q92" s="35" t="s">
        <v>79</v>
      </c>
      <c r="R92" s="33">
        <v>46244</v>
      </c>
      <c r="S92" s="30" t="s">
        <v>85</v>
      </c>
      <c r="T92" s="36">
        <v>91</v>
      </c>
      <c r="U92" s="30" t="s">
        <v>74</v>
      </c>
      <c r="V92" s="30" t="s">
        <v>73</v>
      </c>
    </row>
    <row r="93" spans="1:22" x14ac:dyDescent="0.25">
      <c r="A93" s="30" t="s">
        <v>142</v>
      </c>
      <c r="B93" s="30" t="s">
        <v>64</v>
      </c>
      <c r="C93" s="30" t="s">
        <v>143</v>
      </c>
      <c r="D93" s="31" t="s">
        <v>144</v>
      </c>
      <c r="E93" s="30" t="s">
        <v>145</v>
      </c>
      <c r="F93" s="30" t="s">
        <v>18</v>
      </c>
      <c r="G93" s="31" t="s">
        <v>144</v>
      </c>
      <c r="H93" s="32">
        <v>1</v>
      </c>
      <c r="I93" s="31"/>
      <c r="J93" s="33">
        <v>46235</v>
      </c>
      <c r="K93" s="32">
        <v>0</v>
      </c>
      <c r="L93" s="32"/>
      <c r="M93" s="32">
        <v>0</v>
      </c>
      <c r="N93" s="31"/>
      <c r="O93" s="34">
        <v>46100.749675925923</v>
      </c>
      <c r="P93" s="35" t="s">
        <v>72</v>
      </c>
      <c r="Q93" s="35" t="s">
        <v>79</v>
      </c>
      <c r="R93" s="33">
        <v>46275</v>
      </c>
      <c r="S93" s="30" t="s">
        <v>85</v>
      </c>
      <c r="T93" s="36">
        <v>92</v>
      </c>
      <c r="U93" s="30" t="s">
        <v>74</v>
      </c>
      <c r="V93" s="30" t="s">
        <v>73</v>
      </c>
    </row>
    <row r="94" spans="1:22" x14ac:dyDescent="0.25">
      <c r="A94" s="30" t="s">
        <v>142</v>
      </c>
      <c r="B94" s="30" t="s">
        <v>64</v>
      </c>
      <c r="C94" s="30" t="s">
        <v>143</v>
      </c>
      <c r="D94" s="31" t="s">
        <v>144</v>
      </c>
      <c r="E94" s="30" t="s">
        <v>145</v>
      </c>
      <c r="F94" s="30" t="s">
        <v>18</v>
      </c>
      <c r="G94" s="31" t="s">
        <v>144</v>
      </c>
      <c r="H94" s="32">
        <v>1</v>
      </c>
      <c r="I94" s="31"/>
      <c r="J94" s="33">
        <v>46266</v>
      </c>
      <c r="K94" s="32">
        <v>0</v>
      </c>
      <c r="L94" s="32"/>
      <c r="M94" s="32">
        <v>0</v>
      </c>
      <c r="N94" s="31"/>
      <c r="O94" s="34">
        <v>46100.749675925923</v>
      </c>
      <c r="P94" s="35" t="s">
        <v>72</v>
      </c>
      <c r="Q94" s="35" t="s">
        <v>79</v>
      </c>
      <c r="R94" s="33">
        <v>46306</v>
      </c>
      <c r="S94" s="30" t="s">
        <v>85</v>
      </c>
      <c r="T94" s="36">
        <v>93</v>
      </c>
      <c r="U94" s="30" t="s">
        <v>74</v>
      </c>
      <c r="V94" s="30" t="s">
        <v>73</v>
      </c>
    </row>
    <row r="95" spans="1:22" x14ac:dyDescent="0.25">
      <c r="A95" s="30" t="s">
        <v>142</v>
      </c>
      <c r="B95" s="30" t="s">
        <v>64</v>
      </c>
      <c r="C95" s="30" t="s">
        <v>143</v>
      </c>
      <c r="D95" s="31" t="s">
        <v>144</v>
      </c>
      <c r="E95" s="30" t="s">
        <v>145</v>
      </c>
      <c r="F95" s="30" t="s">
        <v>18</v>
      </c>
      <c r="G95" s="31" t="s">
        <v>144</v>
      </c>
      <c r="H95" s="32">
        <v>1</v>
      </c>
      <c r="I95" s="31"/>
      <c r="J95" s="33">
        <v>46296</v>
      </c>
      <c r="K95" s="32">
        <v>0</v>
      </c>
      <c r="L95" s="32"/>
      <c r="M95" s="32">
        <v>0</v>
      </c>
      <c r="N95" s="31"/>
      <c r="O95" s="34">
        <v>46100.749675925923</v>
      </c>
      <c r="P95" s="35" t="s">
        <v>72</v>
      </c>
      <c r="Q95" s="35" t="s">
        <v>79</v>
      </c>
      <c r="R95" s="33">
        <v>46336</v>
      </c>
      <c r="S95" s="30" t="s">
        <v>85</v>
      </c>
      <c r="T95" s="36">
        <v>94</v>
      </c>
      <c r="U95" s="30" t="s">
        <v>74</v>
      </c>
      <c r="V95" s="30" t="s">
        <v>73</v>
      </c>
    </row>
    <row r="96" spans="1:22" x14ac:dyDescent="0.25">
      <c r="A96" s="30" t="s">
        <v>142</v>
      </c>
      <c r="B96" s="30" t="s">
        <v>64</v>
      </c>
      <c r="C96" s="30" t="s">
        <v>143</v>
      </c>
      <c r="D96" s="31" t="s">
        <v>144</v>
      </c>
      <c r="E96" s="30" t="s">
        <v>145</v>
      </c>
      <c r="F96" s="30" t="s">
        <v>18</v>
      </c>
      <c r="G96" s="31" t="s">
        <v>144</v>
      </c>
      <c r="H96" s="32">
        <v>1</v>
      </c>
      <c r="I96" s="31"/>
      <c r="J96" s="33">
        <v>46327</v>
      </c>
      <c r="K96" s="32">
        <v>0</v>
      </c>
      <c r="L96" s="32"/>
      <c r="M96" s="32">
        <v>0</v>
      </c>
      <c r="N96" s="31"/>
      <c r="O96" s="34">
        <v>46100.749675925923</v>
      </c>
      <c r="P96" s="35" t="s">
        <v>72</v>
      </c>
      <c r="Q96" s="35" t="s">
        <v>79</v>
      </c>
      <c r="R96" s="33">
        <v>46367</v>
      </c>
      <c r="S96" s="30" t="s">
        <v>85</v>
      </c>
      <c r="T96" s="36">
        <v>95</v>
      </c>
      <c r="U96" s="30" t="s">
        <v>74</v>
      </c>
      <c r="V96" s="30" t="s">
        <v>73</v>
      </c>
    </row>
    <row r="97" spans="1:22" x14ac:dyDescent="0.25">
      <c r="A97" s="30" t="s">
        <v>142</v>
      </c>
      <c r="B97" s="30" t="s">
        <v>64</v>
      </c>
      <c r="C97" s="30" t="s">
        <v>143</v>
      </c>
      <c r="D97" s="31" t="s">
        <v>144</v>
      </c>
      <c r="E97" s="30" t="s">
        <v>145</v>
      </c>
      <c r="F97" s="30" t="s">
        <v>18</v>
      </c>
      <c r="G97" s="31" t="s">
        <v>144</v>
      </c>
      <c r="H97" s="32">
        <v>2</v>
      </c>
      <c r="I97" s="31"/>
      <c r="J97" s="33">
        <v>46357</v>
      </c>
      <c r="K97" s="32">
        <v>0</v>
      </c>
      <c r="L97" s="32"/>
      <c r="M97" s="32">
        <v>0</v>
      </c>
      <c r="N97" s="31"/>
      <c r="O97" s="34">
        <v>46100.7496875</v>
      </c>
      <c r="P97" s="35" t="s">
        <v>72</v>
      </c>
      <c r="Q97" s="35" t="s">
        <v>79</v>
      </c>
      <c r="R97" s="33">
        <v>46397</v>
      </c>
      <c r="S97" s="30" t="s">
        <v>85</v>
      </c>
      <c r="T97" s="36">
        <v>96</v>
      </c>
      <c r="U97" s="30" t="s">
        <v>74</v>
      </c>
      <c r="V97" s="30" t="s">
        <v>73</v>
      </c>
    </row>
    <row r="98" spans="1:22" ht="45" x14ac:dyDescent="0.25">
      <c r="A98" s="30" t="s">
        <v>148</v>
      </c>
      <c r="B98" s="30" t="s">
        <v>64</v>
      </c>
      <c r="C98" s="30" t="s">
        <v>143</v>
      </c>
      <c r="D98" s="31" t="s">
        <v>148</v>
      </c>
      <c r="E98" s="30" t="s">
        <v>149</v>
      </c>
      <c r="F98" s="30" t="s">
        <v>18</v>
      </c>
      <c r="G98" s="31" t="s">
        <v>150</v>
      </c>
      <c r="H98" s="32">
        <v>737118539.33000004</v>
      </c>
      <c r="I98" s="31"/>
      <c r="J98" s="33">
        <v>46023</v>
      </c>
      <c r="K98" s="32">
        <v>769496203.13999999</v>
      </c>
      <c r="L98" s="32">
        <v>1.0439000000000001</v>
      </c>
      <c r="M98" s="32">
        <v>1</v>
      </c>
      <c r="N98" s="31" t="s">
        <v>151</v>
      </c>
      <c r="O98" s="34">
        <v>46129.695972222224</v>
      </c>
      <c r="P98" s="35" t="s">
        <v>87</v>
      </c>
      <c r="Q98" s="35" t="s">
        <v>70</v>
      </c>
      <c r="R98" s="33">
        <v>46063</v>
      </c>
      <c r="S98" s="30" t="s">
        <v>95</v>
      </c>
      <c r="T98" s="36">
        <v>97</v>
      </c>
      <c r="U98" s="30" t="s">
        <v>74</v>
      </c>
      <c r="V98" s="30" t="s">
        <v>73</v>
      </c>
    </row>
    <row r="99" spans="1:22" ht="90" x14ac:dyDescent="0.25">
      <c r="A99" s="30" t="s">
        <v>148</v>
      </c>
      <c r="B99" s="30" t="s">
        <v>64</v>
      </c>
      <c r="C99" s="30" t="s">
        <v>143</v>
      </c>
      <c r="D99" s="31" t="s">
        <v>148</v>
      </c>
      <c r="E99" s="30" t="s">
        <v>149</v>
      </c>
      <c r="F99" s="30" t="s">
        <v>18</v>
      </c>
      <c r="G99" s="31" t="s">
        <v>150</v>
      </c>
      <c r="H99" s="32">
        <v>1394613494.9200001</v>
      </c>
      <c r="I99" s="31"/>
      <c r="J99" s="33">
        <v>46054</v>
      </c>
      <c r="K99" s="32">
        <v>1506381391.3199999</v>
      </c>
      <c r="L99" s="32">
        <v>1.0801000000000001</v>
      </c>
      <c r="M99" s="32">
        <v>1</v>
      </c>
      <c r="N99" s="31" t="s">
        <v>152</v>
      </c>
      <c r="O99" s="34">
        <v>46129.696099537039</v>
      </c>
      <c r="P99" s="35" t="s">
        <v>87</v>
      </c>
      <c r="Q99" s="35" t="s">
        <v>70</v>
      </c>
      <c r="R99" s="33">
        <v>46094</v>
      </c>
      <c r="S99" s="30" t="s">
        <v>95</v>
      </c>
      <c r="T99" s="36">
        <v>98</v>
      </c>
      <c r="U99" s="30" t="s">
        <v>74</v>
      </c>
      <c r="V99" s="30" t="s">
        <v>73</v>
      </c>
    </row>
    <row r="100" spans="1:22" ht="120" x14ac:dyDescent="0.25">
      <c r="A100" s="30" t="s">
        <v>148</v>
      </c>
      <c r="B100" s="30" t="s">
        <v>64</v>
      </c>
      <c r="C100" s="30" t="s">
        <v>143</v>
      </c>
      <c r="D100" s="31" t="s">
        <v>148</v>
      </c>
      <c r="E100" s="30" t="s">
        <v>149</v>
      </c>
      <c r="F100" s="30" t="s">
        <v>18</v>
      </c>
      <c r="G100" s="31" t="s">
        <v>150</v>
      </c>
      <c r="H100" s="32">
        <v>2142991571.51</v>
      </c>
      <c r="I100" s="31"/>
      <c r="J100" s="33">
        <v>46082</v>
      </c>
      <c r="K100" s="32">
        <v>2253033145.9200001</v>
      </c>
      <c r="L100" s="32">
        <v>1.0512999999999999</v>
      </c>
      <c r="M100" s="32">
        <v>1</v>
      </c>
      <c r="N100" s="31" t="s">
        <v>153</v>
      </c>
      <c r="O100" s="34">
        <v>46129.696215277778</v>
      </c>
      <c r="P100" s="35" t="s">
        <v>87</v>
      </c>
      <c r="Q100" s="35" t="s">
        <v>70</v>
      </c>
      <c r="R100" s="33">
        <v>46122</v>
      </c>
      <c r="S100" s="30" t="s">
        <v>95</v>
      </c>
      <c r="T100" s="36">
        <v>99</v>
      </c>
      <c r="U100" s="30" t="s">
        <v>74</v>
      </c>
      <c r="V100" s="30" t="s">
        <v>73</v>
      </c>
    </row>
    <row r="101" spans="1:22" ht="150" x14ac:dyDescent="0.25">
      <c r="A101" s="30" t="s">
        <v>148</v>
      </c>
      <c r="B101" s="30" t="s">
        <v>64</v>
      </c>
      <c r="C101" s="30" t="s">
        <v>143</v>
      </c>
      <c r="D101" s="31" t="s">
        <v>148</v>
      </c>
      <c r="E101" s="30" t="s">
        <v>149</v>
      </c>
      <c r="F101" s="30" t="s">
        <v>18</v>
      </c>
      <c r="G101" s="31" t="s">
        <v>150</v>
      </c>
      <c r="H101" s="32">
        <v>2926098294.2600002</v>
      </c>
      <c r="I101" s="31"/>
      <c r="J101" s="33">
        <v>46113</v>
      </c>
      <c r="K101" s="32">
        <v>3035017772.9000001</v>
      </c>
      <c r="L101" s="32">
        <v>1.03722345173901</v>
      </c>
      <c r="M101" s="32">
        <v>1</v>
      </c>
      <c r="N101" s="31" t="s">
        <v>154</v>
      </c>
      <c r="O101" s="34">
        <v>46203.730578703704</v>
      </c>
      <c r="P101" s="35" t="s">
        <v>155</v>
      </c>
      <c r="Q101" s="35" t="s">
        <v>79</v>
      </c>
      <c r="R101" s="33">
        <v>46153</v>
      </c>
      <c r="S101" s="30" t="s">
        <v>95</v>
      </c>
      <c r="T101" s="36">
        <v>100</v>
      </c>
      <c r="U101" s="30" t="s">
        <v>74</v>
      </c>
      <c r="V101" s="30" t="s">
        <v>73</v>
      </c>
    </row>
    <row r="102" spans="1:22" ht="165" x14ac:dyDescent="0.25">
      <c r="A102" s="30" t="s">
        <v>148</v>
      </c>
      <c r="B102" s="30" t="s">
        <v>64</v>
      </c>
      <c r="C102" s="30" t="s">
        <v>143</v>
      </c>
      <c r="D102" s="31" t="s">
        <v>148</v>
      </c>
      <c r="E102" s="30" t="s">
        <v>149</v>
      </c>
      <c r="F102" s="30" t="s">
        <v>18</v>
      </c>
      <c r="G102" s="31" t="s">
        <v>150</v>
      </c>
      <c r="H102" s="32">
        <v>3688125380.1300001</v>
      </c>
      <c r="I102" s="31"/>
      <c r="J102" s="33">
        <v>46143</v>
      </c>
      <c r="K102" s="32">
        <v>3837408558.29</v>
      </c>
      <c r="L102" s="32">
        <v>1.0404767091065501</v>
      </c>
      <c r="M102" s="32">
        <v>1</v>
      </c>
      <c r="N102" s="31" t="s">
        <v>156</v>
      </c>
      <c r="O102" s="34">
        <v>46203.732928240737</v>
      </c>
      <c r="P102" s="35" t="s">
        <v>155</v>
      </c>
      <c r="Q102" s="35" t="s">
        <v>79</v>
      </c>
      <c r="R102" s="33">
        <v>46183</v>
      </c>
      <c r="S102" s="30" t="s">
        <v>95</v>
      </c>
      <c r="T102" s="36">
        <v>101</v>
      </c>
      <c r="U102" s="30" t="s">
        <v>74</v>
      </c>
      <c r="V102" s="30" t="s">
        <v>73</v>
      </c>
    </row>
    <row r="103" spans="1:22" ht="90" x14ac:dyDescent="0.25">
      <c r="A103" s="30" t="s">
        <v>148</v>
      </c>
      <c r="B103" s="30" t="s">
        <v>64</v>
      </c>
      <c r="C103" s="30" t="s">
        <v>143</v>
      </c>
      <c r="D103" s="31" t="s">
        <v>148</v>
      </c>
      <c r="E103" s="30" t="s">
        <v>149</v>
      </c>
      <c r="F103" s="30" t="s">
        <v>18</v>
      </c>
      <c r="G103" s="31" t="s">
        <v>150</v>
      </c>
      <c r="H103" s="32">
        <v>4545104157.2600002</v>
      </c>
      <c r="I103" s="31"/>
      <c r="J103" s="33">
        <v>46174</v>
      </c>
      <c r="K103" s="32">
        <v>4615037076.0299997</v>
      </c>
      <c r="L103" s="32">
        <v>1.01538642819842</v>
      </c>
      <c r="M103" s="32">
        <v>1</v>
      </c>
      <c r="N103" s="31" t="s">
        <v>157</v>
      </c>
      <c r="O103" s="34">
        <v>46220.756493055553</v>
      </c>
      <c r="P103" s="35" t="s">
        <v>87</v>
      </c>
      <c r="Q103" s="35" t="s">
        <v>79</v>
      </c>
      <c r="R103" s="33">
        <v>46214</v>
      </c>
      <c r="S103" s="30" t="s">
        <v>95</v>
      </c>
      <c r="T103" s="36">
        <v>102</v>
      </c>
      <c r="U103" s="30" t="s">
        <v>74</v>
      </c>
      <c r="V103" s="30" t="s">
        <v>73</v>
      </c>
    </row>
    <row r="104" spans="1:22" x14ac:dyDescent="0.25">
      <c r="A104" s="30" t="s">
        <v>148</v>
      </c>
      <c r="B104" s="30" t="s">
        <v>64</v>
      </c>
      <c r="C104" s="30" t="s">
        <v>143</v>
      </c>
      <c r="D104" s="31" t="s">
        <v>148</v>
      </c>
      <c r="E104" s="30" t="s">
        <v>149</v>
      </c>
      <c r="F104" s="30" t="s">
        <v>18</v>
      </c>
      <c r="G104" s="31" t="s">
        <v>150</v>
      </c>
      <c r="H104" s="32">
        <v>5335136942.7200003</v>
      </c>
      <c r="I104" s="31"/>
      <c r="J104" s="33">
        <v>46204</v>
      </c>
      <c r="K104" s="32">
        <v>0</v>
      </c>
      <c r="L104" s="32"/>
      <c r="M104" s="32">
        <v>0</v>
      </c>
      <c r="N104" s="31"/>
      <c r="O104" s="34">
        <v>46122.755393518521</v>
      </c>
      <c r="P104" s="35" t="s">
        <v>72</v>
      </c>
      <c r="Q104" s="35" t="s">
        <v>79</v>
      </c>
      <c r="R104" s="33">
        <v>46244</v>
      </c>
      <c r="S104" s="30" t="s">
        <v>95</v>
      </c>
      <c r="T104" s="36">
        <v>103</v>
      </c>
      <c r="U104" s="30" t="s">
        <v>74</v>
      </c>
      <c r="V104" s="30" t="s">
        <v>73</v>
      </c>
    </row>
    <row r="105" spans="1:22" x14ac:dyDescent="0.25">
      <c r="A105" s="30" t="s">
        <v>148</v>
      </c>
      <c r="B105" s="30" t="s">
        <v>64</v>
      </c>
      <c r="C105" s="30" t="s">
        <v>143</v>
      </c>
      <c r="D105" s="31" t="s">
        <v>148</v>
      </c>
      <c r="E105" s="30" t="s">
        <v>149</v>
      </c>
      <c r="F105" s="30" t="s">
        <v>18</v>
      </c>
      <c r="G105" s="31" t="s">
        <v>150</v>
      </c>
      <c r="H105" s="32">
        <v>6121095220.4799995</v>
      </c>
      <c r="I105" s="31"/>
      <c r="J105" s="33">
        <v>46235</v>
      </c>
      <c r="K105" s="32">
        <v>0</v>
      </c>
      <c r="L105" s="32"/>
      <c r="M105" s="32">
        <v>0</v>
      </c>
      <c r="N105" s="31"/>
      <c r="O105" s="34">
        <v>46122.75540509259</v>
      </c>
      <c r="P105" s="35" t="s">
        <v>72</v>
      </c>
      <c r="Q105" s="35" t="s">
        <v>79</v>
      </c>
      <c r="R105" s="33">
        <v>46275</v>
      </c>
      <c r="S105" s="30" t="s">
        <v>95</v>
      </c>
      <c r="T105" s="36">
        <v>104</v>
      </c>
      <c r="U105" s="30" t="s">
        <v>74</v>
      </c>
      <c r="V105" s="30" t="s">
        <v>73</v>
      </c>
    </row>
    <row r="106" spans="1:22" x14ac:dyDescent="0.25">
      <c r="A106" s="30" t="s">
        <v>148</v>
      </c>
      <c r="B106" s="30" t="s">
        <v>64</v>
      </c>
      <c r="C106" s="30" t="s">
        <v>143</v>
      </c>
      <c r="D106" s="31" t="s">
        <v>148</v>
      </c>
      <c r="E106" s="30" t="s">
        <v>149</v>
      </c>
      <c r="F106" s="30" t="s">
        <v>18</v>
      </c>
      <c r="G106" s="31" t="s">
        <v>150</v>
      </c>
      <c r="H106" s="32">
        <v>7165115749.3900003</v>
      </c>
      <c r="I106" s="31"/>
      <c r="J106" s="33">
        <v>46266</v>
      </c>
      <c r="K106" s="32">
        <v>0</v>
      </c>
      <c r="L106" s="32"/>
      <c r="M106" s="32">
        <v>0</v>
      </c>
      <c r="N106" s="31"/>
      <c r="O106" s="34">
        <v>46122.75540509259</v>
      </c>
      <c r="P106" s="35" t="s">
        <v>72</v>
      </c>
      <c r="Q106" s="35" t="s">
        <v>79</v>
      </c>
      <c r="R106" s="33">
        <v>46306</v>
      </c>
      <c r="S106" s="30" t="s">
        <v>95</v>
      </c>
      <c r="T106" s="36">
        <v>105</v>
      </c>
      <c r="U106" s="30" t="s">
        <v>74</v>
      </c>
      <c r="V106" s="30" t="s">
        <v>73</v>
      </c>
    </row>
    <row r="107" spans="1:22" x14ac:dyDescent="0.25">
      <c r="A107" s="30" t="s">
        <v>148</v>
      </c>
      <c r="B107" s="30" t="s">
        <v>64</v>
      </c>
      <c r="C107" s="30" t="s">
        <v>143</v>
      </c>
      <c r="D107" s="31" t="s">
        <v>148</v>
      </c>
      <c r="E107" s="30" t="s">
        <v>149</v>
      </c>
      <c r="F107" s="30" t="s">
        <v>18</v>
      </c>
      <c r="G107" s="31" t="s">
        <v>150</v>
      </c>
      <c r="H107" s="32">
        <v>7982318714.4899998</v>
      </c>
      <c r="I107" s="31"/>
      <c r="J107" s="33">
        <v>46296</v>
      </c>
      <c r="K107" s="32">
        <v>0</v>
      </c>
      <c r="L107" s="32"/>
      <c r="M107" s="32">
        <v>0</v>
      </c>
      <c r="N107" s="31"/>
      <c r="O107" s="34">
        <v>46122.75540509259</v>
      </c>
      <c r="P107" s="35" t="s">
        <v>72</v>
      </c>
      <c r="Q107" s="35" t="s">
        <v>79</v>
      </c>
      <c r="R107" s="33">
        <v>46336</v>
      </c>
      <c r="S107" s="30" t="s">
        <v>95</v>
      </c>
      <c r="T107" s="36">
        <v>106</v>
      </c>
      <c r="U107" s="30" t="s">
        <v>74</v>
      </c>
      <c r="V107" s="30" t="s">
        <v>73</v>
      </c>
    </row>
    <row r="108" spans="1:22" x14ac:dyDescent="0.25">
      <c r="A108" s="30" t="s">
        <v>148</v>
      </c>
      <c r="B108" s="30" t="s">
        <v>64</v>
      </c>
      <c r="C108" s="30" t="s">
        <v>143</v>
      </c>
      <c r="D108" s="31" t="s">
        <v>148</v>
      </c>
      <c r="E108" s="30" t="s">
        <v>149</v>
      </c>
      <c r="F108" s="30" t="s">
        <v>18</v>
      </c>
      <c r="G108" s="31" t="s">
        <v>150</v>
      </c>
      <c r="H108" s="32">
        <v>8738217863.6399994</v>
      </c>
      <c r="I108" s="31"/>
      <c r="J108" s="33">
        <v>46327</v>
      </c>
      <c r="K108" s="32">
        <v>0</v>
      </c>
      <c r="L108" s="32"/>
      <c r="M108" s="32">
        <v>0</v>
      </c>
      <c r="N108" s="31"/>
      <c r="O108" s="34">
        <v>46122.75540509259</v>
      </c>
      <c r="P108" s="35" t="s">
        <v>72</v>
      </c>
      <c r="Q108" s="35" t="s">
        <v>79</v>
      </c>
      <c r="R108" s="33">
        <v>46367</v>
      </c>
      <c r="S108" s="30" t="s">
        <v>95</v>
      </c>
      <c r="T108" s="36">
        <v>107</v>
      </c>
      <c r="U108" s="30" t="s">
        <v>74</v>
      </c>
      <c r="V108" s="30" t="s">
        <v>73</v>
      </c>
    </row>
    <row r="109" spans="1:22" x14ac:dyDescent="0.25">
      <c r="A109" s="30" t="s">
        <v>148</v>
      </c>
      <c r="B109" s="30" t="s">
        <v>64</v>
      </c>
      <c r="C109" s="30" t="s">
        <v>143</v>
      </c>
      <c r="D109" s="31" t="s">
        <v>148</v>
      </c>
      <c r="E109" s="30" t="s">
        <v>149</v>
      </c>
      <c r="F109" s="30" t="s">
        <v>18</v>
      </c>
      <c r="G109" s="31" t="s">
        <v>150</v>
      </c>
      <c r="H109" s="32">
        <v>10452751134.950001</v>
      </c>
      <c r="I109" s="31"/>
      <c r="J109" s="33">
        <v>46357</v>
      </c>
      <c r="K109" s="32">
        <v>0</v>
      </c>
      <c r="L109" s="32"/>
      <c r="M109" s="32">
        <v>0</v>
      </c>
      <c r="N109" s="31"/>
      <c r="O109" s="34">
        <v>46122.75540509259</v>
      </c>
      <c r="P109" s="35" t="s">
        <v>72</v>
      </c>
      <c r="Q109" s="35" t="s">
        <v>79</v>
      </c>
      <c r="R109" s="33">
        <v>46397</v>
      </c>
      <c r="S109" s="30" t="s">
        <v>95</v>
      </c>
      <c r="T109" s="36">
        <v>108</v>
      </c>
      <c r="U109" s="30" t="s">
        <v>74</v>
      </c>
      <c r="V109" s="30" t="s">
        <v>73</v>
      </c>
    </row>
    <row r="110" spans="1:22" ht="180" x14ac:dyDescent="0.25">
      <c r="A110" s="30" t="s">
        <v>158</v>
      </c>
      <c r="B110" s="30" t="s">
        <v>64</v>
      </c>
      <c r="C110" s="30" t="s">
        <v>143</v>
      </c>
      <c r="D110" s="31" t="s">
        <v>159</v>
      </c>
      <c r="E110" s="30" t="s">
        <v>160</v>
      </c>
      <c r="F110" s="30" t="s">
        <v>22</v>
      </c>
      <c r="G110" s="31" t="s">
        <v>159</v>
      </c>
      <c r="H110" s="32">
        <v>0</v>
      </c>
      <c r="I110" s="31"/>
      <c r="J110" s="33">
        <v>46023</v>
      </c>
      <c r="K110" s="32">
        <v>1</v>
      </c>
      <c r="L110" s="32">
        <v>0</v>
      </c>
      <c r="M110" s="32">
        <v>0</v>
      </c>
      <c r="N110" s="31" t="s">
        <v>161</v>
      </c>
      <c r="O110" s="34">
        <v>46202.433634259258</v>
      </c>
      <c r="P110" s="35" t="s">
        <v>162</v>
      </c>
      <c r="Q110" s="35" t="s">
        <v>70</v>
      </c>
      <c r="R110" s="33">
        <v>46063</v>
      </c>
      <c r="S110" s="30" t="s">
        <v>21</v>
      </c>
      <c r="T110" s="36">
        <v>109</v>
      </c>
      <c r="U110" s="30" t="s">
        <v>74</v>
      </c>
      <c r="V110" s="30" t="s">
        <v>73</v>
      </c>
    </row>
    <row r="111" spans="1:22" ht="180" x14ac:dyDescent="0.25">
      <c r="A111" s="30" t="s">
        <v>158</v>
      </c>
      <c r="B111" s="30" t="s">
        <v>64</v>
      </c>
      <c r="C111" s="30" t="s">
        <v>143</v>
      </c>
      <c r="D111" s="31" t="s">
        <v>159</v>
      </c>
      <c r="E111" s="30" t="s">
        <v>160</v>
      </c>
      <c r="F111" s="30" t="s">
        <v>22</v>
      </c>
      <c r="G111" s="31" t="s">
        <v>159</v>
      </c>
      <c r="H111" s="32">
        <v>0</v>
      </c>
      <c r="I111" s="31"/>
      <c r="J111" s="33">
        <v>46054</v>
      </c>
      <c r="K111" s="32">
        <v>1</v>
      </c>
      <c r="L111" s="32">
        <v>0</v>
      </c>
      <c r="M111" s="32">
        <v>0</v>
      </c>
      <c r="N111" s="31" t="s">
        <v>161</v>
      </c>
      <c r="O111" s="34">
        <v>46202.436805555553</v>
      </c>
      <c r="P111" s="35" t="s">
        <v>162</v>
      </c>
      <c r="Q111" s="35" t="s">
        <v>70</v>
      </c>
      <c r="R111" s="33">
        <v>46094</v>
      </c>
      <c r="S111" s="30" t="s">
        <v>21</v>
      </c>
      <c r="T111" s="36">
        <v>110</v>
      </c>
      <c r="U111" s="30" t="s">
        <v>74</v>
      </c>
      <c r="V111" s="30" t="s">
        <v>73</v>
      </c>
    </row>
    <row r="112" spans="1:22" ht="180" x14ac:dyDescent="0.25">
      <c r="A112" s="30" t="s">
        <v>158</v>
      </c>
      <c r="B112" s="30" t="s">
        <v>64</v>
      </c>
      <c r="C112" s="30" t="s">
        <v>143</v>
      </c>
      <c r="D112" s="31" t="s">
        <v>159</v>
      </c>
      <c r="E112" s="30" t="s">
        <v>160</v>
      </c>
      <c r="F112" s="30" t="s">
        <v>22</v>
      </c>
      <c r="G112" s="31" t="s">
        <v>159</v>
      </c>
      <c r="H112" s="32">
        <v>0</v>
      </c>
      <c r="I112" s="31"/>
      <c r="J112" s="33">
        <v>46082</v>
      </c>
      <c r="K112" s="32">
        <v>1</v>
      </c>
      <c r="L112" s="32">
        <v>0</v>
      </c>
      <c r="M112" s="32">
        <v>0</v>
      </c>
      <c r="N112" s="31" t="s">
        <v>161</v>
      </c>
      <c r="O112" s="34">
        <v>46202.437025462961</v>
      </c>
      <c r="P112" s="35" t="s">
        <v>162</v>
      </c>
      <c r="Q112" s="35" t="s">
        <v>70</v>
      </c>
      <c r="R112" s="33">
        <v>46122</v>
      </c>
      <c r="S112" s="30" t="s">
        <v>21</v>
      </c>
      <c r="T112" s="36">
        <v>111</v>
      </c>
      <c r="U112" s="30" t="s">
        <v>74</v>
      </c>
      <c r="V112" s="30" t="s">
        <v>73</v>
      </c>
    </row>
    <row r="113" spans="1:22" ht="240" x14ac:dyDescent="0.25">
      <c r="A113" s="30" t="s">
        <v>158</v>
      </c>
      <c r="B113" s="30" t="s">
        <v>64</v>
      </c>
      <c r="C113" s="30" t="s">
        <v>143</v>
      </c>
      <c r="D113" s="31" t="s">
        <v>159</v>
      </c>
      <c r="E113" s="30" t="s">
        <v>160</v>
      </c>
      <c r="F113" s="30" t="s">
        <v>22</v>
      </c>
      <c r="G113" s="31" t="s">
        <v>159</v>
      </c>
      <c r="H113" s="32">
        <v>0</v>
      </c>
      <c r="I113" s="31"/>
      <c r="J113" s="33">
        <v>46113</v>
      </c>
      <c r="K113" s="32">
        <v>1</v>
      </c>
      <c r="L113" s="32">
        <v>0</v>
      </c>
      <c r="M113" s="32">
        <v>0</v>
      </c>
      <c r="N113" s="31" t="s">
        <v>163</v>
      </c>
      <c r="O113" s="34">
        <v>46203.471736111111</v>
      </c>
      <c r="P113" s="35" t="s">
        <v>162</v>
      </c>
      <c r="Q113" s="35" t="s">
        <v>70</v>
      </c>
      <c r="R113" s="33">
        <v>46153</v>
      </c>
      <c r="S113" s="30" t="s">
        <v>21</v>
      </c>
      <c r="T113" s="36">
        <v>112</v>
      </c>
      <c r="U113" s="30" t="s">
        <v>74</v>
      </c>
      <c r="V113" s="30" t="s">
        <v>73</v>
      </c>
    </row>
    <row r="114" spans="1:22" ht="240" x14ac:dyDescent="0.25">
      <c r="A114" s="30" t="s">
        <v>158</v>
      </c>
      <c r="B114" s="30" t="s">
        <v>64</v>
      </c>
      <c r="C114" s="30" t="s">
        <v>143</v>
      </c>
      <c r="D114" s="31" t="s">
        <v>159</v>
      </c>
      <c r="E114" s="30" t="s">
        <v>160</v>
      </c>
      <c r="F114" s="30" t="s">
        <v>22</v>
      </c>
      <c r="G114" s="31" t="s">
        <v>159</v>
      </c>
      <c r="H114" s="32">
        <v>0</v>
      </c>
      <c r="I114" s="31"/>
      <c r="J114" s="33">
        <v>46143</v>
      </c>
      <c r="K114" s="32">
        <v>1</v>
      </c>
      <c r="L114" s="32">
        <v>0</v>
      </c>
      <c r="M114" s="32">
        <v>0</v>
      </c>
      <c r="N114" s="31" t="s">
        <v>164</v>
      </c>
      <c r="O114" s="34">
        <v>46203.47184027778</v>
      </c>
      <c r="P114" s="35" t="s">
        <v>162</v>
      </c>
      <c r="Q114" s="35" t="s">
        <v>70</v>
      </c>
      <c r="R114" s="33">
        <v>46183</v>
      </c>
      <c r="S114" s="30" t="s">
        <v>21</v>
      </c>
      <c r="T114" s="36">
        <v>113</v>
      </c>
      <c r="U114" s="30" t="s">
        <v>74</v>
      </c>
      <c r="V114" s="30" t="s">
        <v>73</v>
      </c>
    </row>
    <row r="115" spans="1:22" ht="375" x14ac:dyDescent="0.25">
      <c r="A115" s="30" t="s">
        <v>158</v>
      </c>
      <c r="B115" s="30" t="s">
        <v>64</v>
      </c>
      <c r="C115" s="30" t="s">
        <v>143</v>
      </c>
      <c r="D115" s="31" t="s">
        <v>159</v>
      </c>
      <c r="E115" s="30" t="s">
        <v>160</v>
      </c>
      <c r="F115" s="30" t="s">
        <v>22</v>
      </c>
      <c r="G115" s="31" t="s">
        <v>159</v>
      </c>
      <c r="H115" s="32">
        <v>0</v>
      </c>
      <c r="I115" s="31"/>
      <c r="J115" s="33">
        <v>46174</v>
      </c>
      <c r="K115" s="32">
        <v>0</v>
      </c>
      <c r="L115" s="32">
        <v>0</v>
      </c>
      <c r="M115" s="32">
        <v>0</v>
      </c>
      <c r="N115" s="31" t="s">
        <v>165</v>
      </c>
      <c r="O115" s="34">
        <v>46220.495532407411</v>
      </c>
      <c r="P115" s="35" t="s">
        <v>162</v>
      </c>
      <c r="Q115" s="35" t="s">
        <v>70</v>
      </c>
      <c r="R115" s="33">
        <v>46214</v>
      </c>
      <c r="S115" s="30" t="s">
        <v>21</v>
      </c>
      <c r="T115" s="36">
        <v>114</v>
      </c>
      <c r="U115" s="30" t="s">
        <v>74</v>
      </c>
      <c r="V115" s="30" t="s">
        <v>73</v>
      </c>
    </row>
    <row r="116" spans="1:22" ht="30" x14ac:dyDescent="0.25">
      <c r="A116" s="30" t="s">
        <v>158</v>
      </c>
      <c r="B116" s="30" t="s">
        <v>64</v>
      </c>
      <c r="C116" s="30" t="s">
        <v>143</v>
      </c>
      <c r="D116" s="31" t="s">
        <v>159</v>
      </c>
      <c r="E116" s="30" t="s">
        <v>160</v>
      </c>
      <c r="F116" s="30" t="s">
        <v>22</v>
      </c>
      <c r="G116" s="31" t="s">
        <v>159</v>
      </c>
      <c r="H116" s="32">
        <v>0</v>
      </c>
      <c r="I116" s="31"/>
      <c r="J116" s="33">
        <v>46204</v>
      </c>
      <c r="K116" s="32">
        <v>0</v>
      </c>
      <c r="L116" s="32"/>
      <c r="M116" s="32">
        <v>0</v>
      </c>
      <c r="N116" s="31"/>
      <c r="O116" s="34">
        <v>46106.67</v>
      </c>
      <c r="P116" s="35" t="s">
        <v>72</v>
      </c>
      <c r="Q116" s="35" t="s">
        <v>79</v>
      </c>
      <c r="R116" s="33">
        <v>46244</v>
      </c>
      <c r="S116" s="30" t="s">
        <v>21</v>
      </c>
      <c r="T116" s="36">
        <v>115</v>
      </c>
      <c r="U116" s="30" t="s">
        <v>74</v>
      </c>
      <c r="V116" s="30" t="s">
        <v>73</v>
      </c>
    </row>
    <row r="117" spans="1:22" ht="30" x14ac:dyDescent="0.25">
      <c r="A117" s="30" t="s">
        <v>158</v>
      </c>
      <c r="B117" s="30" t="s">
        <v>64</v>
      </c>
      <c r="C117" s="30" t="s">
        <v>143</v>
      </c>
      <c r="D117" s="31" t="s">
        <v>159</v>
      </c>
      <c r="E117" s="30" t="s">
        <v>160</v>
      </c>
      <c r="F117" s="30" t="s">
        <v>22</v>
      </c>
      <c r="G117" s="31" t="s">
        <v>159</v>
      </c>
      <c r="H117" s="32">
        <v>0</v>
      </c>
      <c r="I117" s="31"/>
      <c r="J117" s="33">
        <v>46235</v>
      </c>
      <c r="K117" s="32">
        <v>0</v>
      </c>
      <c r="L117" s="32"/>
      <c r="M117" s="32">
        <v>0</v>
      </c>
      <c r="N117" s="31"/>
      <c r="O117" s="34">
        <v>46106.670011574075</v>
      </c>
      <c r="P117" s="35" t="s">
        <v>72</v>
      </c>
      <c r="Q117" s="35" t="s">
        <v>79</v>
      </c>
      <c r="R117" s="33">
        <v>46275</v>
      </c>
      <c r="S117" s="30" t="s">
        <v>21</v>
      </c>
      <c r="T117" s="36">
        <v>116</v>
      </c>
      <c r="U117" s="30" t="s">
        <v>74</v>
      </c>
      <c r="V117" s="30" t="s">
        <v>73</v>
      </c>
    </row>
    <row r="118" spans="1:22" ht="30" x14ac:dyDescent="0.25">
      <c r="A118" s="30" t="s">
        <v>158</v>
      </c>
      <c r="B118" s="30" t="s">
        <v>64</v>
      </c>
      <c r="C118" s="30" t="s">
        <v>143</v>
      </c>
      <c r="D118" s="31" t="s">
        <v>159</v>
      </c>
      <c r="E118" s="30" t="s">
        <v>160</v>
      </c>
      <c r="F118" s="30" t="s">
        <v>22</v>
      </c>
      <c r="G118" s="31" t="s">
        <v>159</v>
      </c>
      <c r="H118" s="32">
        <v>0</v>
      </c>
      <c r="I118" s="31"/>
      <c r="J118" s="33">
        <v>46266</v>
      </c>
      <c r="K118" s="32">
        <v>0</v>
      </c>
      <c r="L118" s="32"/>
      <c r="M118" s="32">
        <v>0</v>
      </c>
      <c r="N118" s="31"/>
      <c r="O118" s="34">
        <v>46106.669930555552</v>
      </c>
      <c r="P118" s="35" t="s">
        <v>72</v>
      </c>
      <c r="Q118" s="35" t="s">
        <v>79</v>
      </c>
      <c r="R118" s="33">
        <v>46306</v>
      </c>
      <c r="S118" s="30" t="s">
        <v>21</v>
      </c>
      <c r="T118" s="36">
        <v>117</v>
      </c>
      <c r="U118" s="30" t="s">
        <v>74</v>
      </c>
      <c r="V118" s="30" t="s">
        <v>73</v>
      </c>
    </row>
    <row r="119" spans="1:22" ht="30" x14ac:dyDescent="0.25">
      <c r="A119" s="30" t="s">
        <v>158</v>
      </c>
      <c r="B119" s="30" t="s">
        <v>64</v>
      </c>
      <c r="C119" s="30" t="s">
        <v>143</v>
      </c>
      <c r="D119" s="31" t="s">
        <v>159</v>
      </c>
      <c r="E119" s="30" t="s">
        <v>160</v>
      </c>
      <c r="F119" s="30" t="s">
        <v>22</v>
      </c>
      <c r="G119" s="31" t="s">
        <v>159</v>
      </c>
      <c r="H119" s="32">
        <v>0</v>
      </c>
      <c r="I119" s="31"/>
      <c r="J119" s="33">
        <v>46296</v>
      </c>
      <c r="K119" s="32">
        <v>0</v>
      </c>
      <c r="L119" s="32"/>
      <c r="M119" s="32">
        <v>0</v>
      </c>
      <c r="N119" s="31"/>
      <c r="O119" s="34">
        <v>46106.669930555552</v>
      </c>
      <c r="P119" s="35" t="s">
        <v>72</v>
      </c>
      <c r="Q119" s="35" t="s">
        <v>79</v>
      </c>
      <c r="R119" s="33">
        <v>46336</v>
      </c>
      <c r="S119" s="30" t="s">
        <v>21</v>
      </c>
      <c r="T119" s="36">
        <v>118</v>
      </c>
      <c r="U119" s="30" t="s">
        <v>74</v>
      </c>
      <c r="V119" s="30" t="s">
        <v>73</v>
      </c>
    </row>
    <row r="120" spans="1:22" ht="30" x14ac:dyDescent="0.25">
      <c r="A120" s="30" t="s">
        <v>158</v>
      </c>
      <c r="B120" s="30" t="s">
        <v>64</v>
      </c>
      <c r="C120" s="30" t="s">
        <v>143</v>
      </c>
      <c r="D120" s="31" t="s">
        <v>159</v>
      </c>
      <c r="E120" s="30" t="s">
        <v>160</v>
      </c>
      <c r="F120" s="30" t="s">
        <v>22</v>
      </c>
      <c r="G120" s="31" t="s">
        <v>159</v>
      </c>
      <c r="H120" s="32">
        <v>0</v>
      </c>
      <c r="I120" s="31"/>
      <c r="J120" s="33">
        <v>46327</v>
      </c>
      <c r="K120" s="32">
        <v>0</v>
      </c>
      <c r="L120" s="32"/>
      <c r="M120" s="32">
        <v>0</v>
      </c>
      <c r="N120" s="31"/>
      <c r="O120" s="34">
        <v>46106.669930555552</v>
      </c>
      <c r="P120" s="35" t="s">
        <v>72</v>
      </c>
      <c r="Q120" s="35" t="s">
        <v>79</v>
      </c>
      <c r="R120" s="33">
        <v>46367</v>
      </c>
      <c r="S120" s="30" t="s">
        <v>21</v>
      </c>
      <c r="T120" s="36">
        <v>119</v>
      </c>
      <c r="U120" s="30" t="s">
        <v>74</v>
      </c>
      <c r="V120" s="30" t="s">
        <v>73</v>
      </c>
    </row>
    <row r="121" spans="1:22" ht="30" x14ac:dyDescent="0.25">
      <c r="A121" s="30" t="s">
        <v>158</v>
      </c>
      <c r="B121" s="30" t="s">
        <v>64</v>
      </c>
      <c r="C121" s="30" t="s">
        <v>143</v>
      </c>
      <c r="D121" s="31" t="s">
        <v>159</v>
      </c>
      <c r="E121" s="30" t="s">
        <v>160</v>
      </c>
      <c r="F121" s="30" t="s">
        <v>22</v>
      </c>
      <c r="G121" s="31" t="s">
        <v>159</v>
      </c>
      <c r="H121" s="32">
        <v>1</v>
      </c>
      <c r="I121" s="31"/>
      <c r="J121" s="33">
        <v>46357</v>
      </c>
      <c r="K121" s="32">
        <v>0</v>
      </c>
      <c r="L121" s="32"/>
      <c r="M121" s="32">
        <v>0</v>
      </c>
      <c r="N121" s="31"/>
      <c r="O121" s="34">
        <v>46106.669907407406</v>
      </c>
      <c r="P121" s="35" t="s">
        <v>72</v>
      </c>
      <c r="Q121" s="35" t="s">
        <v>79</v>
      </c>
      <c r="R121" s="33">
        <v>46397</v>
      </c>
      <c r="S121" s="30" t="s">
        <v>21</v>
      </c>
      <c r="T121" s="36">
        <v>120</v>
      </c>
      <c r="U121" s="30" t="s">
        <v>74</v>
      </c>
      <c r="V121" s="30" t="s">
        <v>73</v>
      </c>
    </row>
    <row r="122" spans="1:22" ht="135" x14ac:dyDescent="0.25">
      <c r="A122" s="30" t="s">
        <v>166</v>
      </c>
      <c r="B122" s="30" t="s">
        <v>64</v>
      </c>
      <c r="C122" s="30" t="s">
        <v>167</v>
      </c>
      <c r="D122" s="31" t="s">
        <v>168</v>
      </c>
      <c r="E122" s="30" t="s">
        <v>67</v>
      </c>
      <c r="F122" s="30" t="s">
        <v>18</v>
      </c>
      <c r="G122" s="31" t="s">
        <v>169</v>
      </c>
      <c r="H122" s="32">
        <v>9.9000000000000005E-2</v>
      </c>
      <c r="I122" s="31"/>
      <c r="J122" s="33">
        <v>46023</v>
      </c>
      <c r="K122" s="32">
        <v>2.47E-2</v>
      </c>
      <c r="L122" s="32">
        <v>0.247</v>
      </c>
      <c r="M122" s="32">
        <v>0.247</v>
      </c>
      <c r="N122" s="31" t="s">
        <v>170</v>
      </c>
      <c r="O122" s="34">
        <v>46220.792812500003</v>
      </c>
      <c r="P122" s="35" t="s">
        <v>109</v>
      </c>
      <c r="Q122" s="35" t="s">
        <v>70</v>
      </c>
      <c r="R122" s="33">
        <v>46063</v>
      </c>
      <c r="S122" s="30" t="s">
        <v>21</v>
      </c>
      <c r="T122" s="36">
        <v>121</v>
      </c>
      <c r="U122" s="30" t="s">
        <v>74</v>
      </c>
      <c r="V122" s="30" t="s">
        <v>73</v>
      </c>
    </row>
    <row r="123" spans="1:22" ht="90" x14ac:dyDescent="0.25">
      <c r="A123" s="30" t="s">
        <v>166</v>
      </c>
      <c r="B123" s="30" t="s">
        <v>64</v>
      </c>
      <c r="C123" s="30" t="s">
        <v>167</v>
      </c>
      <c r="D123" s="31" t="s">
        <v>168</v>
      </c>
      <c r="E123" s="30" t="s">
        <v>67</v>
      </c>
      <c r="F123" s="30" t="s">
        <v>18</v>
      </c>
      <c r="G123" s="31" t="s">
        <v>169</v>
      </c>
      <c r="H123" s="32">
        <v>9.9000000000000005E-2</v>
      </c>
      <c r="I123" s="31"/>
      <c r="J123" s="33">
        <v>46054</v>
      </c>
      <c r="K123" s="32">
        <v>5.8400000000000001E-2</v>
      </c>
      <c r="L123" s="32">
        <v>0.58399999999999996</v>
      </c>
      <c r="M123" s="32">
        <v>0.58399999999999996</v>
      </c>
      <c r="N123" s="31" t="s">
        <v>171</v>
      </c>
      <c r="O123" s="34">
        <v>46220.792916666665</v>
      </c>
      <c r="P123" s="35" t="s">
        <v>109</v>
      </c>
      <c r="Q123" s="35" t="s">
        <v>70</v>
      </c>
      <c r="R123" s="33">
        <v>46094</v>
      </c>
      <c r="S123" s="30" t="s">
        <v>21</v>
      </c>
      <c r="T123" s="36">
        <v>122</v>
      </c>
      <c r="U123" s="30" t="s">
        <v>74</v>
      </c>
      <c r="V123" s="30" t="s">
        <v>73</v>
      </c>
    </row>
    <row r="124" spans="1:22" ht="120" x14ac:dyDescent="0.25">
      <c r="A124" s="30" t="s">
        <v>166</v>
      </c>
      <c r="B124" s="30" t="s">
        <v>64</v>
      </c>
      <c r="C124" s="30" t="s">
        <v>167</v>
      </c>
      <c r="D124" s="31" t="s">
        <v>168</v>
      </c>
      <c r="E124" s="30" t="s">
        <v>67</v>
      </c>
      <c r="F124" s="30" t="s">
        <v>18</v>
      </c>
      <c r="G124" s="31" t="s">
        <v>169</v>
      </c>
      <c r="H124" s="32">
        <v>9.9000000000000005E-2</v>
      </c>
      <c r="I124" s="31"/>
      <c r="J124" s="33">
        <v>46082</v>
      </c>
      <c r="K124" s="32">
        <v>6.0100000000000001E-2</v>
      </c>
      <c r="L124" s="32">
        <v>0.60099999999999998</v>
      </c>
      <c r="M124" s="32">
        <v>0.60099999999999998</v>
      </c>
      <c r="N124" s="31" t="s">
        <v>172</v>
      </c>
      <c r="O124" s="34">
        <v>46220.793043981481</v>
      </c>
      <c r="P124" s="35" t="s">
        <v>109</v>
      </c>
      <c r="Q124" s="35" t="s">
        <v>70</v>
      </c>
      <c r="R124" s="33">
        <v>46122</v>
      </c>
      <c r="S124" s="30" t="s">
        <v>21</v>
      </c>
      <c r="T124" s="36">
        <v>123</v>
      </c>
      <c r="U124" s="30" t="s">
        <v>74</v>
      </c>
      <c r="V124" s="30" t="s">
        <v>73</v>
      </c>
    </row>
    <row r="125" spans="1:22" ht="60" x14ac:dyDescent="0.25">
      <c r="A125" s="30" t="s">
        <v>166</v>
      </c>
      <c r="B125" s="30" t="s">
        <v>64</v>
      </c>
      <c r="C125" s="30" t="s">
        <v>167</v>
      </c>
      <c r="D125" s="31" t="s">
        <v>168</v>
      </c>
      <c r="E125" s="30" t="s">
        <v>67</v>
      </c>
      <c r="F125" s="30" t="s">
        <v>18</v>
      </c>
      <c r="G125" s="31" t="s">
        <v>169</v>
      </c>
      <c r="H125" s="32">
        <v>8.5999999999999993E-2</v>
      </c>
      <c r="I125" s="31"/>
      <c r="J125" s="33">
        <v>46113</v>
      </c>
      <c r="K125" s="32">
        <v>4.0300000000000002E-2</v>
      </c>
      <c r="L125" s="32">
        <v>0.40300000000000002</v>
      </c>
      <c r="M125" s="32">
        <v>0.40300000000000002</v>
      </c>
      <c r="N125" s="31" t="s">
        <v>173</v>
      </c>
      <c r="O125" s="34">
        <v>46220.793252314812</v>
      </c>
      <c r="P125" s="35" t="s">
        <v>109</v>
      </c>
      <c r="Q125" s="35" t="s">
        <v>79</v>
      </c>
      <c r="R125" s="33">
        <v>46153</v>
      </c>
      <c r="S125" s="30" t="s">
        <v>21</v>
      </c>
      <c r="T125" s="36">
        <v>124</v>
      </c>
      <c r="U125" s="30" t="s">
        <v>74</v>
      </c>
      <c r="V125" s="30" t="s">
        <v>73</v>
      </c>
    </row>
    <row r="126" spans="1:22" ht="60" x14ac:dyDescent="0.25">
      <c r="A126" s="30" t="s">
        <v>166</v>
      </c>
      <c r="B126" s="30" t="s">
        <v>64</v>
      </c>
      <c r="C126" s="30" t="s">
        <v>167</v>
      </c>
      <c r="D126" s="31" t="s">
        <v>168</v>
      </c>
      <c r="E126" s="30" t="s">
        <v>67</v>
      </c>
      <c r="F126" s="30" t="s">
        <v>18</v>
      </c>
      <c r="G126" s="31" t="s">
        <v>169</v>
      </c>
      <c r="H126" s="32">
        <v>8.5999999999999993E-2</v>
      </c>
      <c r="I126" s="31"/>
      <c r="J126" s="33">
        <v>46143</v>
      </c>
      <c r="K126" s="32">
        <v>4.07E-2</v>
      </c>
      <c r="L126" s="32">
        <v>0.40699999999999997</v>
      </c>
      <c r="M126" s="32">
        <v>0.40699999999999997</v>
      </c>
      <c r="N126" s="31" t="s">
        <v>174</v>
      </c>
      <c r="O126" s="34">
        <v>46220.793368055558</v>
      </c>
      <c r="P126" s="35" t="s">
        <v>109</v>
      </c>
      <c r="Q126" s="35" t="s">
        <v>79</v>
      </c>
      <c r="R126" s="33">
        <v>46183</v>
      </c>
      <c r="S126" s="30" t="s">
        <v>21</v>
      </c>
      <c r="T126" s="36">
        <v>125</v>
      </c>
      <c r="U126" s="30" t="s">
        <v>74</v>
      </c>
      <c r="V126" s="30" t="s">
        <v>73</v>
      </c>
    </row>
    <row r="127" spans="1:22" ht="75" x14ac:dyDescent="0.25">
      <c r="A127" s="30" t="s">
        <v>166</v>
      </c>
      <c r="B127" s="30" t="s">
        <v>64</v>
      </c>
      <c r="C127" s="30" t="s">
        <v>167</v>
      </c>
      <c r="D127" s="31" t="s">
        <v>168</v>
      </c>
      <c r="E127" s="30" t="s">
        <v>67</v>
      </c>
      <c r="F127" s="30" t="s">
        <v>18</v>
      </c>
      <c r="G127" s="31" t="s">
        <v>169</v>
      </c>
      <c r="H127" s="32">
        <v>8.5999999999999993E-2</v>
      </c>
      <c r="I127" s="31"/>
      <c r="J127" s="33">
        <v>46174</v>
      </c>
      <c r="K127" s="32">
        <v>4.2200000000000001E-2</v>
      </c>
      <c r="L127" s="32">
        <v>0.42199999999999999</v>
      </c>
      <c r="M127" s="32">
        <v>0.42199999999999999</v>
      </c>
      <c r="N127" s="31" t="s">
        <v>175</v>
      </c>
      <c r="O127" s="34">
        <v>46220.79346064815</v>
      </c>
      <c r="P127" s="35" t="s">
        <v>109</v>
      </c>
      <c r="Q127" s="35" t="s">
        <v>79</v>
      </c>
      <c r="R127" s="33">
        <v>46214</v>
      </c>
      <c r="S127" s="30" t="s">
        <v>21</v>
      </c>
      <c r="T127" s="36">
        <v>126</v>
      </c>
      <c r="U127" s="30" t="s">
        <v>74</v>
      </c>
      <c r="V127" s="30" t="s">
        <v>73</v>
      </c>
    </row>
    <row r="128" spans="1:22" x14ac:dyDescent="0.25">
      <c r="A128" s="30" t="s">
        <v>166</v>
      </c>
      <c r="B128" s="30" t="s">
        <v>64</v>
      </c>
      <c r="C128" s="30" t="s">
        <v>167</v>
      </c>
      <c r="D128" s="31" t="s">
        <v>168</v>
      </c>
      <c r="E128" s="30" t="s">
        <v>67</v>
      </c>
      <c r="F128" s="30" t="s">
        <v>18</v>
      </c>
      <c r="G128" s="31" t="s">
        <v>169</v>
      </c>
      <c r="H128" s="32">
        <v>8.1000000000000003E-2</v>
      </c>
      <c r="I128" s="31"/>
      <c r="J128" s="33">
        <v>46204</v>
      </c>
      <c r="K128" s="32">
        <v>0</v>
      </c>
      <c r="L128" s="32"/>
      <c r="M128" s="32">
        <v>0</v>
      </c>
      <c r="N128" s="31"/>
      <c r="O128" s="34">
        <v>46220.793576388889</v>
      </c>
      <c r="P128" s="35" t="s">
        <v>109</v>
      </c>
      <c r="Q128" s="35" t="s">
        <v>79</v>
      </c>
      <c r="R128" s="33">
        <v>46244</v>
      </c>
      <c r="S128" s="30" t="s">
        <v>21</v>
      </c>
      <c r="T128" s="36">
        <v>127</v>
      </c>
      <c r="U128" s="30" t="s">
        <v>74</v>
      </c>
      <c r="V128" s="30" t="s">
        <v>73</v>
      </c>
    </row>
    <row r="129" spans="1:22" x14ac:dyDescent="0.25">
      <c r="A129" s="30" t="s">
        <v>166</v>
      </c>
      <c r="B129" s="30" t="s">
        <v>64</v>
      </c>
      <c r="C129" s="30" t="s">
        <v>167</v>
      </c>
      <c r="D129" s="31" t="s">
        <v>168</v>
      </c>
      <c r="E129" s="30" t="s">
        <v>67</v>
      </c>
      <c r="F129" s="30" t="s">
        <v>18</v>
      </c>
      <c r="G129" s="31" t="s">
        <v>169</v>
      </c>
      <c r="H129" s="32">
        <v>8.1000000000000003E-2</v>
      </c>
      <c r="I129" s="31"/>
      <c r="J129" s="33">
        <v>46235</v>
      </c>
      <c r="K129" s="32">
        <v>0</v>
      </c>
      <c r="L129" s="32"/>
      <c r="M129" s="32">
        <v>0</v>
      </c>
      <c r="N129" s="31"/>
      <c r="O129" s="34">
        <v>46220.793634259258</v>
      </c>
      <c r="P129" s="35" t="s">
        <v>109</v>
      </c>
      <c r="Q129" s="35" t="s">
        <v>79</v>
      </c>
      <c r="R129" s="33">
        <v>46275</v>
      </c>
      <c r="S129" s="30" t="s">
        <v>21</v>
      </c>
      <c r="T129" s="36">
        <v>128</v>
      </c>
      <c r="U129" s="30" t="s">
        <v>74</v>
      </c>
      <c r="V129" s="30" t="s">
        <v>73</v>
      </c>
    </row>
    <row r="130" spans="1:22" x14ac:dyDescent="0.25">
      <c r="A130" s="30" t="s">
        <v>166</v>
      </c>
      <c r="B130" s="30" t="s">
        <v>64</v>
      </c>
      <c r="C130" s="30" t="s">
        <v>167</v>
      </c>
      <c r="D130" s="31" t="s">
        <v>168</v>
      </c>
      <c r="E130" s="30" t="s">
        <v>67</v>
      </c>
      <c r="F130" s="30" t="s">
        <v>18</v>
      </c>
      <c r="G130" s="31" t="s">
        <v>169</v>
      </c>
      <c r="H130" s="32">
        <v>8.1000000000000003E-2</v>
      </c>
      <c r="I130" s="31"/>
      <c r="J130" s="33">
        <v>46266</v>
      </c>
      <c r="K130" s="32">
        <v>0</v>
      </c>
      <c r="L130" s="32"/>
      <c r="M130" s="32">
        <v>0</v>
      </c>
      <c r="N130" s="31"/>
      <c r="O130" s="34">
        <v>46220.793715277781</v>
      </c>
      <c r="P130" s="35" t="s">
        <v>109</v>
      </c>
      <c r="Q130" s="35" t="s">
        <v>79</v>
      </c>
      <c r="R130" s="33">
        <v>46306</v>
      </c>
      <c r="S130" s="30" t="s">
        <v>21</v>
      </c>
      <c r="T130" s="36">
        <v>129</v>
      </c>
      <c r="U130" s="30" t="s">
        <v>74</v>
      </c>
      <c r="V130" s="30" t="s">
        <v>73</v>
      </c>
    </row>
    <row r="131" spans="1:22" x14ac:dyDescent="0.25">
      <c r="A131" s="30" t="s">
        <v>166</v>
      </c>
      <c r="B131" s="30" t="s">
        <v>64</v>
      </c>
      <c r="C131" s="30" t="s">
        <v>167</v>
      </c>
      <c r="D131" s="31" t="s">
        <v>168</v>
      </c>
      <c r="E131" s="30" t="s">
        <v>67</v>
      </c>
      <c r="F131" s="30" t="s">
        <v>18</v>
      </c>
      <c r="G131" s="31" t="s">
        <v>169</v>
      </c>
      <c r="H131" s="32">
        <v>7.1999999999999995E-2</v>
      </c>
      <c r="I131" s="31"/>
      <c r="J131" s="33">
        <v>46296</v>
      </c>
      <c r="K131" s="32">
        <v>0</v>
      </c>
      <c r="L131" s="32"/>
      <c r="M131" s="32">
        <v>0</v>
      </c>
      <c r="N131" s="31"/>
      <c r="O131" s="34">
        <v>46220.793842592589</v>
      </c>
      <c r="P131" s="35" t="s">
        <v>109</v>
      </c>
      <c r="Q131" s="35" t="s">
        <v>79</v>
      </c>
      <c r="R131" s="33">
        <v>46336</v>
      </c>
      <c r="S131" s="30" t="s">
        <v>21</v>
      </c>
      <c r="T131" s="36">
        <v>130</v>
      </c>
      <c r="U131" s="30" t="s">
        <v>74</v>
      </c>
      <c r="V131" s="30" t="s">
        <v>73</v>
      </c>
    </row>
    <row r="132" spans="1:22" x14ac:dyDescent="0.25">
      <c r="A132" s="30" t="s">
        <v>166</v>
      </c>
      <c r="B132" s="30" t="s">
        <v>64</v>
      </c>
      <c r="C132" s="30" t="s">
        <v>167</v>
      </c>
      <c r="D132" s="31" t="s">
        <v>168</v>
      </c>
      <c r="E132" s="30" t="s">
        <v>67</v>
      </c>
      <c r="F132" s="30" t="s">
        <v>18</v>
      </c>
      <c r="G132" s="31" t="s">
        <v>169</v>
      </c>
      <c r="H132" s="32">
        <v>7.1999999999999995E-2</v>
      </c>
      <c r="I132" s="31"/>
      <c r="J132" s="33">
        <v>46327</v>
      </c>
      <c r="K132" s="32">
        <v>0</v>
      </c>
      <c r="L132" s="32"/>
      <c r="M132" s="32">
        <v>0</v>
      </c>
      <c r="N132" s="31"/>
      <c r="O132" s="34">
        <v>46220.793912037036</v>
      </c>
      <c r="P132" s="35" t="s">
        <v>109</v>
      </c>
      <c r="Q132" s="35" t="s">
        <v>79</v>
      </c>
      <c r="R132" s="33">
        <v>46367</v>
      </c>
      <c r="S132" s="30" t="s">
        <v>21</v>
      </c>
      <c r="T132" s="36">
        <v>131</v>
      </c>
      <c r="U132" s="30" t="s">
        <v>74</v>
      </c>
      <c r="V132" s="30" t="s">
        <v>73</v>
      </c>
    </row>
    <row r="133" spans="1:22" x14ac:dyDescent="0.25">
      <c r="A133" s="30" t="s">
        <v>166</v>
      </c>
      <c r="B133" s="30" t="s">
        <v>64</v>
      </c>
      <c r="C133" s="30" t="s">
        <v>167</v>
      </c>
      <c r="D133" s="31" t="s">
        <v>168</v>
      </c>
      <c r="E133" s="30" t="s">
        <v>67</v>
      </c>
      <c r="F133" s="30" t="s">
        <v>18</v>
      </c>
      <c r="G133" s="31" t="s">
        <v>169</v>
      </c>
      <c r="H133" s="32">
        <v>7.1999999999999995E-2</v>
      </c>
      <c r="I133" s="31"/>
      <c r="J133" s="33">
        <v>46357</v>
      </c>
      <c r="K133" s="32">
        <v>0</v>
      </c>
      <c r="L133" s="32"/>
      <c r="M133" s="32">
        <v>0</v>
      </c>
      <c r="N133" s="31"/>
      <c r="O133" s="34">
        <v>46220.793969907405</v>
      </c>
      <c r="P133" s="35" t="s">
        <v>109</v>
      </c>
      <c r="Q133" s="35" t="s">
        <v>79</v>
      </c>
      <c r="R133" s="33">
        <v>46397</v>
      </c>
      <c r="S133" s="30" t="s">
        <v>21</v>
      </c>
      <c r="T133" s="36">
        <v>132</v>
      </c>
      <c r="U133" s="30" t="s">
        <v>74</v>
      </c>
      <c r="V133" s="30" t="s">
        <v>73</v>
      </c>
    </row>
    <row r="134" spans="1:22" ht="75" x14ac:dyDescent="0.25">
      <c r="A134" s="30" t="s">
        <v>176</v>
      </c>
      <c r="B134" s="30" t="s">
        <v>177</v>
      </c>
      <c r="C134" s="30" t="s">
        <v>65</v>
      </c>
      <c r="D134" s="31" t="s">
        <v>178</v>
      </c>
      <c r="E134" s="30" t="s">
        <v>67</v>
      </c>
      <c r="F134" s="30" t="s">
        <v>18</v>
      </c>
      <c r="G134" s="31" t="s">
        <v>179</v>
      </c>
      <c r="H134" s="32">
        <v>0.28000000000000003</v>
      </c>
      <c r="I134" s="31"/>
      <c r="J134" s="33">
        <v>46023</v>
      </c>
      <c r="K134" s="32">
        <v>0.74129999999999996</v>
      </c>
      <c r="L134" s="32">
        <v>2.6475</v>
      </c>
      <c r="M134" s="32">
        <v>1</v>
      </c>
      <c r="N134" s="31" t="s">
        <v>180</v>
      </c>
      <c r="O134" s="34">
        <v>46132.787592592591</v>
      </c>
      <c r="P134" s="35" t="s">
        <v>76</v>
      </c>
      <c r="Q134" s="35" t="s">
        <v>70</v>
      </c>
      <c r="R134" s="33">
        <v>46063</v>
      </c>
      <c r="S134" s="30" t="s">
        <v>21</v>
      </c>
      <c r="T134" s="36">
        <v>133</v>
      </c>
      <c r="U134" s="30" t="s">
        <v>74</v>
      </c>
      <c r="V134" s="30" t="s">
        <v>73</v>
      </c>
    </row>
    <row r="135" spans="1:22" ht="90" x14ac:dyDescent="0.25">
      <c r="A135" s="30" t="s">
        <v>176</v>
      </c>
      <c r="B135" s="30" t="s">
        <v>177</v>
      </c>
      <c r="C135" s="30" t="s">
        <v>65</v>
      </c>
      <c r="D135" s="31" t="s">
        <v>178</v>
      </c>
      <c r="E135" s="30" t="s">
        <v>67</v>
      </c>
      <c r="F135" s="30" t="s">
        <v>18</v>
      </c>
      <c r="G135" s="31" t="s">
        <v>179</v>
      </c>
      <c r="H135" s="32">
        <v>0.28000000000000003</v>
      </c>
      <c r="I135" s="31"/>
      <c r="J135" s="33">
        <v>46054</v>
      </c>
      <c r="K135" s="32">
        <v>0.755</v>
      </c>
      <c r="L135" s="32">
        <v>2.6964285714285698</v>
      </c>
      <c r="M135" s="32">
        <v>1</v>
      </c>
      <c r="N135" s="31" t="s">
        <v>181</v>
      </c>
      <c r="O135" s="34">
        <v>46132.788287037038</v>
      </c>
      <c r="P135" s="35" t="s">
        <v>76</v>
      </c>
      <c r="Q135" s="35" t="s">
        <v>70</v>
      </c>
      <c r="R135" s="33">
        <v>46094</v>
      </c>
      <c r="S135" s="30" t="s">
        <v>21</v>
      </c>
      <c r="T135" s="36">
        <v>134</v>
      </c>
      <c r="U135" s="30" t="s">
        <v>74</v>
      </c>
      <c r="V135" s="30" t="s">
        <v>73</v>
      </c>
    </row>
    <row r="136" spans="1:22" ht="75" x14ac:dyDescent="0.25">
      <c r="A136" s="30" t="s">
        <v>176</v>
      </c>
      <c r="B136" s="30" t="s">
        <v>177</v>
      </c>
      <c r="C136" s="30" t="s">
        <v>65</v>
      </c>
      <c r="D136" s="31" t="s">
        <v>178</v>
      </c>
      <c r="E136" s="30" t="s">
        <v>67</v>
      </c>
      <c r="F136" s="30" t="s">
        <v>18</v>
      </c>
      <c r="G136" s="31" t="s">
        <v>179</v>
      </c>
      <c r="H136" s="32">
        <v>0.28000000000000003</v>
      </c>
      <c r="I136" s="31"/>
      <c r="J136" s="33">
        <v>46082</v>
      </c>
      <c r="K136" s="32">
        <v>0.79790000000000005</v>
      </c>
      <c r="L136" s="32">
        <v>2.84964285714286</v>
      </c>
      <c r="M136" s="32">
        <v>1</v>
      </c>
      <c r="N136" s="31" t="s">
        <v>182</v>
      </c>
      <c r="O136" s="34">
        <v>46132.788657407407</v>
      </c>
      <c r="P136" s="35" t="s">
        <v>76</v>
      </c>
      <c r="Q136" s="35" t="s">
        <v>70</v>
      </c>
      <c r="R136" s="33">
        <v>46122</v>
      </c>
      <c r="S136" s="30" t="s">
        <v>21</v>
      </c>
      <c r="T136" s="36">
        <v>135</v>
      </c>
      <c r="U136" s="30" t="s">
        <v>74</v>
      </c>
      <c r="V136" s="30" t="s">
        <v>73</v>
      </c>
    </row>
    <row r="137" spans="1:22" ht="45" x14ac:dyDescent="0.25">
      <c r="A137" s="30" t="s">
        <v>176</v>
      </c>
      <c r="B137" s="30" t="s">
        <v>177</v>
      </c>
      <c r="C137" s="30" t="s">
        <v>65</v>
      </c>
      <c r="D137" s="31" t="s">
        <v>178</v>
      </c>
      <c r="E137" s="30" t="s">
        <v>67</v>
      </c>
      <c r="F137" s="30" t="s">
        <v>18</v>
      </c>
      <c r="G137" s="31" t="s">
        <v>179</v>
      </c>
      <c r="H137" s="32">
        <v>0.28000000000000003</v>
      </c>
      <c r="I137" s="31"/>
      <c r="J137" s="33">
        <v>46113</v>
      </c>
      <c r="K137" s="32">
        <v>0.7046</v>
      </c>
      <c r="L137" s="32">
        <v>2.5164285714285701</v>
      </c>
      <c r="M137" s="32">
        <v>1</v>
      </c>
      <c r="N137" s="31" t="s">
        <v>183</v>
      </c>
      <c r="O137" s="34">
        <v>46219.833981481483</v>
      </c>
      <c r="P137" s="35" t="s">
        <v>76</v>
      </c>
      <c r="Q137" s="35" t="s">
        <v>79</v>
      </c>
      <c r="R137" s="33">
        <v>46153</v>
      </c>
      <c r="S137" s="30" t="s">
        <v>21</v>
      </c>
      <c r="T137" s="36">
        <v>136</v>
      </c>
      <c r="U137" s="30" t="s">
        <v>74</v>
      </c>
      <c r="V137" s="30" t="s">
        <v>73</v>
      </c>
    </row>
    <row r="138" spans="1:22" ht="45" x14ac:dyDescent="0.25">
      <c r="A138" s="30" t="s">
        <v>176</v>
      </c>
      <c r="B138" s="30" t="s">
        <v>177</v>
      </c>
      <c r="C138" s="30" t="s">
        <v>65</v>
      </c>
      <c r="D138" s="31" t="s">
        <v>178</v>
      </c>
      <c r="E138" s="30" t="s">
        <v>67</v>
      </c>
      <c r="F138" s="30" t="s">
        <v>18</v>
      </c>
      <c r="G138" s="31" t="s">
        <v>179</v>
      </c>
      <c r="H138" s="32">
        <v>0.28000000000000003</v>
      </c>
      <c r="I138" s="31"/>
      <c r="J138" s="33">
        <v>46143</v>
      </c>
      <c r="K138" s="32">
        <v>0.73089999999999999</v>
      </c>
      <c r="L138" s="32">
        <v>2.6103571428571399</v>
      </c>
      <c r="M138" s="32">
        <v>1</v>
      </c>
      <c r="N138" s="31" t="s">
        <v>183</v>
      </c>
      <c r="O138" s="34">
        <v>46219.834421296298</v>
      </c>
      <c r="P138" s="35" t="s">
        <v>76</v>
      </c>
      <c r="Q138" s="35" t="s">
        <v>79</v>
      </c>
      <c r="R138" s="33">
        <v>46183</v>
      </c>
      <c r="S138" s="30" t="s">
        <v>21</v>
      </c>
      <c r="T138" s="36">
        <v>137</v>
      </c>
      <c r="U138" s="30" t="s">
        <v>74</v>
      </c>
      <c r="V138" s="30" t="s">
        <v>73</v>
      </c>
    </row>
    <row r="139" spans="1:22" ht="60" x14ac:dyDescent="0.25">
      <c r="A139" s="30" t="s">
        <v>176</v>
      </c>
      <c r="B139" s="30" t="s">
        <v>177</v>
      </c>
      <c r="C139" s="30" t="s">
        <v>65</v>
      </c>
      <c r="D139" s="31" t="s">
        <v>178</v>
      </c>
      <c r="E139" s="30" t="s">
        <v>67</v>
      </c>
      <c r="F139" s="30" t="s">
        <v>18</v>
      </c>
      <c r="G139" s="31" t="s">
        <v>179</v>
      </c>
      <c r="H139" s="32">
        <v>0.28000000000000003</v>
      </c>
      <c r="I139" s="31"/>
      <c r="J139" s="33">
        <v>46174</v>
      </c>
      <c r="K139" s="32">
        <v>0.62160000000000004</v>
      </c>
      <c r="L139" s="32">
        <v>2.2200000000000002</v>
      </c>
      <c r="M139" s="32">
        <v>1</v>
      </c>
      <c r="N139" s="31" t="s">
        <v>184</v>
      </c>
      <c r="O139" s="34">
        <v>46219.835844907408</v>
      </c>
      <c r="P139" s="35" t="s">
        <v>76</v>
      </c>
      <c r="Q139" s="35" t="s">
        <v>79</v>
      </c>
      <c r="R139" s="33">
        <v>46214</v>
      </c>
      <c r="S139" s="30" t="s">
        <v>21</v>
      </c>
      <c r="T139" s="36">
        <v>138</v>
      </c>
      <c r="U139" s="30" t="s">
        <v>74</v>
      </c>
      <c r="V139" s="30" t="s">
        <v>73</v>
      </c>
    </row>
    <row r="140" spans="1:22" ht="30" x14ac:dyDescent="0.25">
      <c r="A140" s="30" t="s">
        <v>176</v>
      </c>
      <c r="B140" s="30" t="s">
        <v>177</v>
      </c>
      <c r="C140" s="30" t="s">
        <v>65</v>
      </c>
      <c r="D140" s="31" t="s">
        <v>178</v>
      </c>
      <c r="E140" s="30" t="s">
        <v>67</v>
      </c>
      <c r="F140" s="30" t="s">
        <v>18</v>
      </c>
      <c r="G140" s="31" t="s">
        <v>179</v>
      </c>
      <c r="H140" s="32">
        <v>0.28000000000000003</v>
      </c>
      <c r="I140" s="31"/>
      <c r="J140" s="33">
        <v>46204</v>
      </c>
      <c r="K140" s="32">
        <v>0</v>
      </c>
      <c r="L140" s="32"/>
      <c r="M140" s="32">
        <v>0</v>
      </c>
      <c r="N140" s="31"/>
      <c r="O140" s="34">
        <v>46119.725659722222</v>
      </c>
      <c r="P140" s="35" t="s">
        <v>72</v>
      </c>
      <c r="Q140" s="35" t="s">
        <v>79</v>
      </c>
      <c r="R140" s="33">
        <v>46244</v>
      </c>
      <c r="S140" s="30" t="s">
        <v>21</v>
      </c>
      <c r="T140" s="36">
        <v>139</v>
      </c>
      <c r="U140" s="30" t="s">
        <v>74</v>
      </c>
      <c r="V140" s="30" t="s">
        <v>73</v>
      </c>
    </row>
    <row r="141" spans="1:22" ht="30" x14ac:dyDescent="0.25">
      <c r="A141" s="30" t="s">
        <v>176</v>
      </c>
      <c r="B141" s="30" t="s">
        <v>177</v>
      </c>
      <c r="C141" s="30" t="s">
        <v>65</v>
      </c>
      <c r="D141" s="31" t="s">
        <v>178</v>
      </c>
      <c r="E141" s="30" t="s">
        <v>67</v>
      </c>
      <c r="F141" s="30" t="s">
        <v>18</v>
      </c>
      <c r="G141" s="31" t="s">
        <v>179</v>
      </c>
      <c r="H141" s="32">
        <v>0.28000000000000003</v>
      </c>
      <c r="I141" s="31"/>
      <c r="J141" s="33">
        <v>46235</v>
      </c>
      <c r="K141" s="32">
        <v>0</v>
      </c>
      <c r="L141" s="32"/>
      <c r="M141" s="32">
        <v>0</v>
      </c>
      <c r="N141" s="31"/>
      <c r="O141" s="34">
        <v>46119.725659722222</v>
      </c>
      <c r="P141" s="35" t="s">
        <v>72</v>
      </c>
      <c r="Q141" s="35" t="s">
        <v>79</v>
      </c>
      <c r="R141" s="33">
        <v>46275</v>
      </c>
      <c r="S141" s="30" t="s">
        <v>21</v>
      </c>
      <c r="T141" s="36">
        <v>140</v>
      </c>
      <c r="U141" s="30" t="s">
        <v>74</v>
      </c>
      <c r="V141" s="30" t="s">
        <v>73</v>
      </c>
    </row>
    <row r="142" spans="1:22" ht="30" x14ac:dyDescent="0.25">
      <c r="A142" s="30" t="s">
        <v>176</v>
      </c>
      <c r="B142" s="30" t="s">
        <v>177</v>
      </c>
      <c r="C142" s="30" t="s">
        <v>65</v>
      </c>
      <c r="D142" s="31" t="s">
        <v>178</v>
      </c>
      <c r="E142" s="30" t="s">
        <v>67</v>
      </c>
      <c r="F142" s="30" t="s">
        <v>18</v>
      </c>
      <c r="G142" s="31" t="s">
        <v>179</v>
      </c>
      <c r="H142" s="32">
        <v>0.28000000000000003</v>
      </c>
      <c r="I142" s="31"/>
      <c r="J142" s="33">
        <v>46266</v>
      </c>
      <c r="K142" s="32">
        <v>0</v>
      </c>
      <c r="L142" s="32"/>
      <c r="M142" s="32">
        <v>0</v>
      </c>
      <c r="N142" s="31"/>
      <c r="O142" s="34">
        <v>46119.725659722222</v>
      </c>
      <c r="P142" s="35" t="s">
        <v>72</v>
      </c>
      <c r="Q142" s="35" t="s">
        <v>79</v>
      </c>
      <c r="R142" s="33">
        <v>46306</v>
      </c>
      <c r="S142" s="30" t="s">
        <v>21</v>
      </c>
      <c r="T142" s="36">
        <v>141</v>
      </c>
      <c r="U142" s="30" t="s">
        <v>74</v>
      </c>
      <c r="V142" s="30" t="s">
        <v>73</v>
      </c>
    </row>
    <row r="143" spans="1:22" ht="30" x14ac:dyDescent="0.25">
      <c r="A143" s="30" t="s">
        <v>176</v>
      </c>
      <c r="B143" s="30" t="s">
        <v>177</v>
      </c>
      <c r="C143" s="30" t="s">
        <v>65</v>
      </c>
      <c r="D143" s="31" t="s">
        <v>178</v>
      </c>
      <c r="E143" s="30" t="s">
        <v>67</v>
      </c>
      <c r="F143" s="30" t="s">
        <v>18</v>
      </c>
      <c r="G143" s="31" t="s">
        <v>179</v>
      </c>
      <c r="H143" s="32">
        <v>0.28000000000000003</v>
      </c>
      <c r="I143" s="31"/>
      <c r="J143" s="33">
        <v>46296</v>
      </c>
      <c r="K143" s="32">
        <v>0</v>
      </c>
      <c r="L143" s="32"/>
      <c r="M143" s="32">
        <v>0</v>
      </c>
      <c r="N143" s="31"/>
      <c r="O143" s="34">
        <v>46119.725671296299</v>
      </c>
      <c r="P143" s="35" t="s">
        <v>72</v>
      </c>
      <c r="Q143" s="35" t="s">
        <v>79</v>
      </c>
      <c r="R143" s="33">
        <v>46336</v>
      </c>
      <c r="S143" s="30" t="s">
        <v>21</v>
      </c>
      <c r="T143" s="36">
        <v>142</v>
      </c>
      <c r="U143" s="30" t="s">
        <v>74</v>
      </c>
      <c r="V143" s="30" t="s">
        <v>73</v>
      </c>
    </row>
    <row r="144" spans="1:22" ht="30" x14ac:dyDescent="0.25">
      <c r="A144" s="30" t="s">
        <v>176</v>
      </c>
      <c r="B144" s="30" t="s">
        <v>177</v>
      </c>
      <c r="C144" s="30" t="s">
        <v>65</v>
      </c>
      <c r="D144" s="31" t="s">
        <v>178</v>
      </c>
      <c r="E144" s="30" t="s">
        <v>67</v>
      </c>
      <c r="F144" s="30" t="s">
        <v>18</v>
      </c>
      <c r="G144" s="31" t="s">
        <v>179</v>
      </c>
      <c r="H144" s="32">
        <v>0.28000000000000003</v>
      </c>
      <c r="I144" s="31"/>
      <c r="J144" s="33">
        <v>46327</v>
      </c>
      <c r="K144" s="32">
        <v>0</v>
      </c>
      <c r="L144" s="32"/>
      <c r="M144" s="32">
        <v>0</v>
      </c>
      <c r="N144" s="31"/>
      <c r="O144" s="34">
        <v>46119.725729166668</v>
      </c>
      <c r="P144" s="35" t="s">
        <v>72</v>
      </c>
      <c r="Q144" s="35" t="s">
        <v>79</v>
      </c>
      <c r="R144" s="33">
        <v>46367</v>
      </c>
      <c r="S144" s="30" t="s">
        <v>21</v>
      </c>
      <c r="T144" s="36">
        <v>143</v>
      </c>
      <c r="U144" s="30" t="s">
        <v>74</v>
      </c>
      <c r="V144" s="30" t="s">
        <v>73</v>
      </c>
    </row>
    <row r="145" spans="1:22" ht="30" x14ac:dyDescent="0.25">
      <c r="A145" s="30" t="s">
        <v>176</v>
      </c>
      <c r="B145" s="30" t="s">
        <v>177</v>
      </c>
      <c r="C145" s="30" t="s">
        <v>65</v>
      </c>
      <c r="D145" s="31" t="s">
        <v>178</v>
      </c>
      <c r="E145" s="30" t="s">
        <v>67</v>
      </c>
      <c r="F145" s="30" t="s">
        <v>18</v>
      </c>
      <c r="G145" s="31" t="s">
        <v>179</v>
      </c>
      <c r="H145" s="32">
        <v>0.28000000000000003</v>
      </c>
      <c r="I145" s="31"/>
      <c r="J145" s="33">
        <v>46357</v>
      </c>
      <c r="K145" s="32">
        <v>0</v>
      </c>
      <c r="L145" s="32"/>
      <c r="M145" s="32">
        <v>0</v>
      </c>
      <c r="N145" s="31"/>
      <c r="O145" s="34">
        <v>46104.641504629632</v>
      </c>
      <c r="P145" s="35" t="s">
        <v>72</v>
      </c>
      <c r="Q145" s="35" t="s">
        <v>79</v>
      </c>
      <c r="R145" s="33">
        <v>46397</v>
      </c>
      <c r="S145" s="30" t="s">
        <v>21</v>
      </c>
      <c r="T145" s="36">
        <v>144</v>
      </c>
      <c r="U145" s="30" t="s">
        <v>74</v>
      </c>
      <c r="V145" s="30" t="s">
        <v>73</v>
      </c>
    </row>
    <row r="146" spans="1:22" ht="165" x14ac:dyDescent="0.25">
      <c r="A146" s="30" t="s">
        <v>185</v>
      </c>
      <c r="B146" s="30" t="s">
        <v>177</v>
      </c>
      <c r="C146" s="30" t="s">
        <v>65</v>
      </c>
      <c r="D146" s="31" t="s">
        <v>186</v>
      </c>
      <c r="E146" s="30" t="s">
        <v>67</v>
      </c>
      <c r="F146" s="30" t="s">
        <v>18</v>
      </c>
      <c r="G146" s="31" t="s">
        <v>187</v>
      </c>
      <c r="H146" s="32">
        <v>4.5499999999999999E-2</v>
      </c>
      <c r="I146" s="31"/>
      <c r="J146" s="33">
        <v>46023</v>
      </c>
      <c r="K146" s="32">
        <v>0.05</v>
      </c>
      <c r="L146" s="32">
        <v>2.4038461538461502</v>
      </c>
      <c r="M146" s="32">
        <v>1</v>
      </c>
      <c r="N146" s="31" t="s">
        <v>188</v>
      </c>
      <c r="O146" s="34">
        <v>46220.764999999999</v>
      </c>
      <c r="P146" s="35" t="s">
        <v>109</v>
      </c>
      <c r="Q146" s="35" t="s">
        <v>70</v>
      </c>
      <c r="R146" s="33">
        <v>46063</v>
      </c>
      <c r="S146" s="30" t="s">
        <v>21</v>
      </c>
      <c r="T146" s="36">
        <v>145</v>
      </c>
      <c r="U146" s="30" t="s">
        <v>74</v>
      </c>
      <c r="V146" s="30" t="s">
        <v>73</v>
      </c>
    </row>
    <row r="147" spans="1:22" ht="150" x14ac:dyDescent="0.25">
      <c r="A147" s="30" t="s">
        <v>185</v>
      </c>
      <c r="B147" s="30" t="s">
        <v>177</v>
      </c>
      <c r="C147" s="30" t="s">
        <v>65</v>
      </c>
      <c r="D147" s="31" t="s">
        <v>186</v>
      </c>
      <c r="E147" s="30" t="s">
        <v>67</v>
      </c>
      <c r="F147" s="30" t="s">
        <v>18</v>
      </c>
      <c r="G147" s="31" t="s">
        <v>187</v>
      </c>
      <c r="H147" s="32">
        <v>4.5499999999999999E-2</v>
      </c>
      <c r="I147" s="31"/>
      <c r="J147" s="33">
        <v>46054</v>
      </c>
      <c r="K147" s="32">
        <v>0.05</v>
      </c>
      <c r="L147" s="32">
        <v>1.1990407673860899</v>
      </c>
      <c r="M147" s="32">
        <v>1</v>
      </c>
      <c r="N147" s="31" t="s">
        <v>189</v>
      </c>
      <c r="O147" s="34">
        <v>46220.765138888892</v>
      </c>
      <c r="P147" s="35" t="s">
        <v>109</v>
      </c>
      <c r="Q147" s="35" t="s">
        <v>70</v>
      </c>
      <c r="R147" s="33">
        <v>46094</v>
      </c>
      <c r="S147" s="30" t="s">
        <v>21</v>
      </c>
      <c r="T147" s="36">
        <v>146</v>
      </c>
      <c r="U147" s="30" t="s">
        <v>74</v>
      </c>
      <c r="V147" s="30" t="s">
        <v>73</v>
      </c>
    </row>
    <row r="148" spans="1:22" ht="165" x14ac:dyDescent="0.25">
      <c r="A148" s="30" t="s">
        <v>185</v>
      </c>
      <c r="B148" s="30" t="s">
        <v>177</v>
      </c>
      <c r="C148" s="30" t="s">
        <v>65</v>
      </c>
      <c r="D148" s="31" t="s">
        <v>186</v>
      </c>
      <c r="E148" s="30" t="s">
        <v>67</v>
      </c>
      <c r="F148" s="30" t="s">
        <v>18</v>
      </c>
      <c r="G148" s="31" t="s">
        <v>187</v>
      </c>
      <c r="H148" s="32">
        <v>4.5499999999999999E-2</v>
      </c>
      <c r="I148" s="31"/>
      <c r="J148" s="33">
        <v>46082</v>
      </c>
      <c r="K148" s="32">
        <v>0.05</v>
      </c>
      <c r="L148" s="32">
        <v>0.8</v>
      </c>
      <c r="M148" s="32">
        <v>0.8</v>
      </c>
      <c r="N148" s="31" t="s">
        <v>190</v>
      </c>
      <c r="O148" s="34">
        <v>46220.765266203707</v>
      </c>
      <c r="P148" s="35" t="s">
        <v>109</v>
      </c>
      <c r="Q148" s="35" t="s">
        <v>70</v>
      </c>
      <c r="R148" s="33">
        <v>46122</v>
      </c>
      <c r="S148" s="30" t="s">
        <v>21</v>
      </c>
      <c r="T148" s="36">
        <v>147</v>
      </c>
      <c r="U148" s="30" t="s">
        <v>74</v>
      </c>
      <c r="V148" s="30" t="s">
        <v>73</v>
      </c>
    </row>
    <row r="149" spans="1:22" ht="315" x14ac:dyDescent="0.25">
      <c r="A149" s="30" t="s">
        <v>185</v>
      </c>
      <c r="B149" s="30" t="s">
        <v>177</v>
      </c>
      <c r="C149" s="30" t="s">
        <v>65</v>
      </c>
      <c r="D149" s="31" t="s">
        <v>186</v>
      </c>
      <c r="E149" s="30" t="s">
        <v>67</v>
      </c>
      <c r="F149" s="30" t="s">
        <v>18</v>
      </c>
      <c r="G149" s="31" t="s">
        <v>187</v>
      </c>
      <c r="H149" s="32">
        <v>0.13639999999999999</v>
      </c>
      <c r="I149" s="31"/>
      <c r="J149" s="33">
        <v>46113</v>
      </c>
      <c r="K149" s="32">
        <v>4.5499999999999999E-2</v>
      </c>
      <c r="L149" s="32">
        <v>0.54621848739495804</v>
      </c>
      <c r="M149" s="32">
        <v>0.54621848739495804</v>
      </c>
      <c r="N149" s="31" t="s">
        <v>191</v>
      </c>
      <c r="O149" s="34">
        <v>46220.765648148146</v>
      </c>
      <c r="P149" s="35" t="s">
        <v>109</v>
      </c>
      <c r="Q149" s="35" t="s">
        <v>79</v>
      </c>
      <c r="R149" s="33">
        <v>46153</v>
      </c>
      <c r="S149" s="30" t="s">
        <v>21</v>
      </c>
      <c r="T149" s="36">
        <v>148</v>
      </c>
      <c r="U149" s="30" t="s">
        <v>74</v>
      </c>
      <c r="V149" s="30" t="s">
        <v>73</v>
      </c>
    </row>
    <row r="150" spans="1:22" ht="315" x14ac:dyDescent="0.25">
      <c r="A150" s="30" t="s">
        <v>185</v>
      </c>
      <c r="B150" s="30" t="s">
        <v>177</v>
      </c>
      <c r="C150" s="30" t="s">
        <v>65</v>
      </c>
      <c r="D150" s="31" t="s">
        <v>186</v>
      </c>
      <c r="E150" s="30" t="s">
        <v>67</v>
      </c>
      <c r="F150" s="30" t="s">
        <v>18</v>
      </c>
      <c r="G150" s="31" t="s">
        <v>187</v>
      </c>
      <c r="H150" s="32">
        <v>0.13639999999999999</v>
      </c>
      <c r="I150" s="31"/>
      <c r="J150" s="33">
        <v>46143</v>
      </c>
      <c r="K150" s="32">
        <v>0.18179999999999999</v>
      </c>
      <c r="L150" s="32">
        <v>1.7447216890595001</v>
      </c>
      <c r="M150" s="32">
        <v>1</v>
      </c>
      <c r="N150" s="31" t="s">
        <v>191</v>
      </c>
      <c r="O150" s="34">
        <v>46220.765775462962</v>
      </c>
      <c r="P150" s="35" t="s">
        <v>109</v>
      </c>
      <c r="Q150" s="35" t="s">
        <v>79</v>
      </c>
      <c r="R150" s="33">
        <v>46183</v>
      </c>
      <c r="S150" s="30" t="s">
        <v>21</v>
      </c>
      <c r="T150" s="36">
        <v>149</v>
      </c>
      <c r="U150" s="30" t="s">
        <v>74</v>
      </c>
      <c r="V150" s="30" t="s">
        <v>73</v>
      </c>
    </row>
    <row r="151" spans="1:22" ht="315" x14ac:dyDescent="0.25">
      <c r="A151" s="30" t="s">
        <v>185</v>
      </c>
      <c r="B151" s="30" t="s">
        <v>177</v>
      </c>
      <c r="C151" s="30" t="s">
        <v>65</v>
      </c>
      <c r="D151" s="31" t="s">
        <v>186</v>
      </c>
      <c r="E151" s="30" t="s">
        <v>67</v>
      </c>
      <c r="F151" s="30" t="s">
        <v>18</v>
      </c>
      <c r="G151" s="31" t="s">
        <v>187</v>
      </c>
      <c r="H151" s="32">
        <v>0.13639999999999999</v>
      </c>
      <c r="I151" s="31"/>
      <c r="J151" s="33">
        <v>46174</v>
      </c>
      <c r="K151" s="32">
        <v>0.18179999999999999</v>
      </c>
      <c r="L151" s="32">
        <v>1.3328445747800599</v>
      </c>
      <c r="M151" s="32">
        <v>1</v>
      </c>
      <c r="N151" s="31" t="s">
        <v>191</v>
      </c>
      <c r="O151" s="34">
        <v>46220.733900462961</v>
      </c>
      <c r="P151" s="35" t="s">
        <v>76</v>
      </c>
      <c r="Q151" s="35" t="s">
        <v>79</v>
      </c>
      <c r="R151" s="33">
        <v>46214</v>
      </c>
      <c r="S151" s="30" t="s">
        <v>21</v>
      </c>
      <c r="T151" s="36">
        <v>150</v>
      </c>
      <c r="U151" s="30" t="s">
        <v>74</v>
      </c>
      <c r="V151" s="30" t="s">
        <v>73</v>
      </c>
    </row>
    <row r="152" spans="1:22" ht="45" x14ac:dyDescent="0.25">
      <c r="A152" s="30" t="s">
        <v>185</v>
      </c>
      <c r="B152" s="30" t="s">
        <v>177</v>
      </c>
      <c r="C152" s="30" t="s">
        <v>65</v>
      </c>
      <c r="D152" s="31" t="s">
        <v>186</v>
      </c>
      <c r="E152" s="30" t="s">
        <v>67</v>
      </c>
      <c r="F152" s="30" t="s">
        <v>18</v>
      </c>
      <c r="G152" s="31" t="s">
        <v>187</v>
      </c>
      <c r="H152" s="32">
        <v>0.18179999999999999</v>
      </c>
      <c r="I152" s="31"/>
      <c r="J152" s="33">
        <v>46204</v>
      </c>
      <c r="K152" s="32">
        <v>0</v>
      </c>
      <c r="L152" s="32"/>
      <c r="M152" s="32">
        <v>0</v>
      </c>
      <c r="N152" s="31"/>
      <c r="O152" s="34">
        <v>46220.766064814816</v>
      </c>
      <c r="P152" s="35" t="s">
        <v>109</v>
      </c>
      <c r="Q152" s="35" t="s">
        <v>79</v>
      </c>
      <c r="R152" s="33">
        <v>46244</v>
      </c>
      <c r="S152" s="30" t="s">
        <v>21</v>
      </c>
      <c r="T152" s="36">
        <v>151</v>
      </c>
      <c r="U152" s="30" t="s">
        <v>74</v>
      </c>
      <c r="V152" s="30" t="s">
        <v>73</v>
      </c>
    </row>
    <row r="153" spans="1:22" ht="45" x14ac:dyDescent="0.25">
      <c r="A153" s="30" t="s">
        <v>185</v>
      </c>
      <c r="B153" s="30" t="s">
        <v>177</v>
      </c>
      <c r="C153" s="30" t="s">
        <v>65</v>
      </c>
      <c r="D153" s="31" t="s">
        <v>186</v>
      </c>
      <c r="E153" s="30" t="s">
        <v>67</v>
      </c>
      <c r="F153" s="30" t="s">
        <v>18</v>
      </c>
      <c r="G153" s="31" t="s">
        <v>187</v>
      </c>
      <c r="H153" s="32">
        <v>0.18179999999999999</v>
      </c>
      <c r="I153" s="31"/>
      <c r="J153" s="33">
        <v>46235</v>
      </c>
      <c r="K153" s="32">
        <v>0</v>
      </c>
      <c r="L153" s="32"/>
      <c r="M153" s="32">
        <v>0</v>
      </c>
      <c r="N153" s="31"/>
      <c r="O153" s="34">
        <v>46220.766134259262</v>
      </c>
      <c r="P153" s="35" t="s">
        <v>109</v>
      </c>
      <c r="Q153" s="35" t="s">
        <v>79</v>
      </c>
      <c r="R153" s="33">
        <v>46275</v>
      </c>
      <c r="S153" s="30" t="s">
        <v>21</v>
      </c>
      <c r="T153" s="36">
        <v>152</v>
      </c>
      <c r="U153" s="30" t="s">
        <v>74</v>
      </c>
      <c r="V153" s="30" t="s">
        <v>73</v>
      </c>
    </row>
    <row r="154" spans="1:22" ht="45" x14ac:dyDescent="0.25">
      <c r="A154" s="30" t="s">
        <v>185</v>
      </c>
      <c r="B154" s="30" t="s">
        <v>177</v>
      </c>
      <c r="C154" s="30" t="s">
        <v>65</v>
      </c>
      <c r="D154" s="31" t="s">
        <v>186</v>
      </c>
      <c r="E154" s="30" t="s">
        <v>67</v>
      </c>
      <c r="F154" s="30" t="s">
        <v>18</v>
      </c>
      <c r="G154" s="31" t="s">
        <v>187</v>
      </c>
      <c r="H154" s="32">
        <v>0.18179999999999999</v>
      </c>
      <c r="I154" s="31"/>
      <c r="J154" s="33">
        <v>46266</v>
      </c>
      <c r="K154" s="32">
        <v>0</v>
      </c>
      <c r="L154" s="32"/>
      <c r="M154" s="32">
        <v>0</v>
      </c>
      <c r="N154" s="31"/>
      <c r="O154" s="34">
        <v>46204.669479166667</v>
      </c>
      <c r="P154" s="35" t="s">
        <v>109</v>
      </c>
      <c r="Q154" s="35" t="s">
        <v>79</v>
      </c>
      <c r="R154" s="33">
        <v>46306</v>
      </c>
      <c r="S154" s="30" t="s">
        <v>21</v>
      </c>
      <c r="T154" s="36">
        <v>153</v>
      </c>
      <c r="U154" s="30" t="s">
        <v>74</v>
      </c>
      <c r="V154" s="30" t="s">
        <v>73</v>
      </c>
    </row>
    <row r="155" spans="1:22" ht="45" x14ac:dyDescent="0.25">
      <c r="A155" s="30" t="s">
        <v>185</v>
      </c>
      <c r="B155" s="30" t="s">
        <v>177</v>
      </c>
      <c r="C155" s="30" t="s">
        <v>65</v>
      </c>
      <c r="D155" s="31" t="s">
        <v>186</v>
      </c>
      <c r="E155" s="30" t="s">
        <v>67</v>
      </c>
      <c r="F155" s="30" t="s">
        <v>18</v>
      </c>
      <c r="G155" s="31" t="s">
        <v>187</v>
      </c>
      <c r="H155" s="32">
        <v>0.25</v>
      </c>
      <c r="I155" s="31"/>
      <c r="J155" s="33">
        <v>46296</v>
      </c>
      <c r="K155" s="32">
        <v>0</v>
      </c>
      <c r="L155" s="32"/>
      <c r="M155" s="32">
        <v>0</v>
      </c>
      <c r="N155" s="31"/>
      <c r="O155" s="34">
        <v>46220.766331018516</v>
      </c>
      <c r="P155" s="35" t="s">
        <v>109</v>
      </c>
      <c r="Q155" s="35" t="s">
        <v>79</v>
      </c>
      <c r="R155" s="33">
        <v>46336</v>
      </c>
      <c r="S155" s="30" t="s">
        <v>21</v>
      </c>
      <c r="T155" s="36">
        <v>154</v>
      </c>
      <c r="U155" s="30" t="s">
        <v>74</v>
      </c>
      <c r="V155" s="30" t="s">
        <v>73</v>
      </c>
    </row>
    <row r="156" spans="1:22" ht="45" x14ac:dyDescent="0.25">
      <c r="A156" s="30" t="s">
        <v>185</v>
      </c>
      <c r="B156" s="30" t="s">
        <v>177</v>
      </c>
      <c r="C156" s="30" t="s">
        <v>65</v>
      </c>
      <c r="D156" s="31" t="s">
        <v>186</v>
      </c>
      <c r="E156" s="30" t="s">
        <v>67</v>
      </c>
      <c r="F156" s="30" t="s">
        <v>18</v>
      </c>
      <c r="G156" s="31" t="s">
        <v>187</v>
      </c>
      <c r="H156" s="32">
        <v>0.25</v>
      </c>
      <c r="I156" s="31"/>
      <c r="J156" s="33">
        <v>46327</v>
      </c>
      <c r="K156" s="32">
        <v>0</v>
      </c>
      <c r="L156" s="32"/>
      <c r="M156" s="32">
        <v>0</v>
      </c>
      <c r="N156" s="31"/>
      <c r="O156" s="34">
        <v>46220.766400462962</v>
      </c>
      <c r="P156" s="35" t="s">
        <v>109</v>
      </c>
      <c r="Q156" s="35" t="s">
        <v>79</v>
      </c>
      <c r="R156" s="33">
        <v>46367</v>
      </c>
      <c r="S156" s="30" t="s">
        <v>21</v>
      </c>
      <c r="T156" s="36">
        <v>155</v>
      </c>
      <c r="U156" s="30" t="s">
        <v>74</v>
      </c>
      <c r="V156" s="30" t="s">
        <v>73</v>
      </c>
    </row>
    <row r="157" spans="1:22" ht="45" x14ac:dyDescent="0.25">
      <c r="A157" s="30" t="s">
        <v>185</v>
      </c>
      <c r="B157" s="30" t="s">
        <v>177</v>
      </c>
      <c r="C157" s="30" t="s">
        <v>65</v>
      </c>
      <c r="D157" s="31" t="s">
        <v>186</v>
      </c>
      <c r="E157" s="30" t="s">
        <v>67</v>
      </c>
      <c r="F157" s="30" t="s">
        <v>18</v>
      </c>
      <c r="G157" s="31" t="s">
        <v>187</v>
      </c>
      <c r="H157" s="32">
        <v>0.25</v>
      </c>
      <c r="I157" s="31"/>
      <c r="J157" s="33">
        <v>46357</v>
      </c>
      <c r="K157" s="32">
        <v>0</v>
      </c>
      <c r="L157" s="32"/>
      <c r="M157" s="32">
        <v>0</v>
      </c>
      <c r="N157" s="31"/>
      <c r="O157" s="34">
        <v>46119.808969907404</v>
      </c>
      <c r="P157" s="35" t="s">
        <v>72</v>
      </c>
      <c r="Q157" s="35" t="s">
        <v>79</v>
      </c>
      <c r="R157" s="33">
        <v>46397</v>
      </c>
      <c r="S157" s="30" t="s">
        <v>21</v>
      </c>
      <c r="T157" s="36">
        <v>156</v>
      </c>
      <c r="U157" s="30" t="s">
        <v>74</v>
      </c>
      <c r="V157" s="30" t="s">
        <v>73</v>
      </c>
    </row>
    <row r="158" spans="1:22" ht="90" x14ac:dyDescent="0.25">
      <c r="A158" s="30" t="s">
        <v>192</v>
      </c>
      <c r="B158" s="30" t="s">
        <v>177</v>
      </c>
      <c r="C158" s="30" t="s">
        <v>91</v>
      </c>
      <c r="D158" s="31" t="s">
        <v>193</v>
      </c>
      <c r="E158" s="30" t="s">
        <v>67</v>
      </c>
      <c r="F158" s="30" t="s">
        <v>18</v>
      </c>
      <c r="G158" s="31" t="s">
        <v>194</v>
      </c>
      <c r="H158" s="32">
        <v>0.27700000000000002</v>
      </c>
      <c r="I158" s="31"/>
      <c r="J158" s="33">
        <v>46023</v>
      </c>
      <c r="K158" s="32">
        <v>0.30149999999999999</v>
      </c>
      <c r="L158" s="32">
        <v>1.1100000000000001</v>
      </c>
      <c r="M158" s="32">
        <v>1</v>
      </c>
      <c r="N158" s="31" t="s">
        <v>195</v>
      </c>
      <c r="O158" s="34">
        <v>46220.77138888889</v>
      </c>
      <c r="P158" s="35" t="s">
        <v>109</v>
      </c>
      <c r="Q158" s="35" t="s">
        <v>70</v>
      </c>
      <c r="R158" s="33">
        <v>46063</v>
      </c>
      <c r="S158" s="30" t="s">
        <v>21</v>
      </c>
      <c r="T158" s="36">
        <v>157</v>
      </c>
      <c r="U158" s="30" t="s">
        <v>74</v>
      </c>
      <c r="V158" s="30" t="s">
        <v>73</v>
      </c>
    </row>
    <row r="159" spans="1:22" ht="90" x14ac:dyDescent="0.25">
      <c r="A159" s="30" t="s">
        <v>192</v>
      </c>
      <c r="B159" s="30" t="s">
        <v>177</v>
      </c>
      <c r="C159" s="30" t="s">
        <v>91</v>
      </c>
      <c r="D159" s="31" t="s">
        <v>193</v>
      </c>
      <c r="E159" s="30" t="s">
        <v>67</v>
      </c>
      <c r="F159" s="30" t="s">
        <v>18</v>
      </c>
      <c r="G159" s="31" t="s">
        <v>194</v>
      </c>
      <c r="H159" s="32">
        <v>0.28289999999999998</v>
      </c>
      <c r="I159" s="31"/>
      <c r="J159" s="33">
        <v>46054</v>
      </c>
      <c r="K159" s="32">
        <v>0.30640000000000001</v>
      </c>
      <c r="L159" s="32">
        <v>1.069</v>
      </c>
      <c r="M159" s="32">
        <v>1</v>
      </c>
      <c r="N159" s="31" t="s">
        <v>196</v>
      </c>
      <c r="O159" s="34">
        <v>46220.770925925928</v>
      </c>
      <c r="P159" s="35" t="s">
        <v>109</v>
      </c>
      <c r="Q159" s="35" t="s">
        <v>70</v>
      </c>
      <c r="R159" s="33">
        <v>46094</v>
      </c>
      <c r="S159" s="30" t="s">
        <v>21</v>
      </c>
      <c r="T159" s="36">
        <v>158</v>
      </c>
      <c r="U159" s="30" t="s">
        <v>74</v>
      </c>
      <c r="V159" s="30" t="s">
        <v>73</v>
      </c>
    </row>
    <row r="160" spans="1:22" ht="90" x14ac:dyDescent="0.25">
      <c r="A160" s="30" t="s">
        <v>192</v>
      </c>
      <c r="B160" s="30" t="s">
        <v>177</v>
      </c>
      <c r="C160" s="30" t="s">
        <v>91</v>
      </c>
      <c r="D160" s="31" t="s">
        <v>193</v>
      </c>
      <c r="E160" s="30" t="s">
        <v>67</v>
      </c>
      <c r="F160" s="30" t="s">
        <v>18</v>
      </c>
      <c r="G160" s="31" t="s">
        <v>194</v>
      </c>
      <c r="H160" s="32">
        <v>0.28050000000000003</v>
      </c>
      <c r="I160" s="31"/>
      <c r="J160" s="33">
        <v>46082</v>
      </c>
      <c r="K160" s="32">
        <v>0.29670000000000002</v>
      </c>
      <c r="L160" s="32">
        <v>1.0577000000000001</v>
      </c>
      <c r="M160" s="32">
        <v>1</v>
      </c>
      <c r="N160" s="31" t="s">
        <v>197</v>
      </c>
      <c r="O160" s="34">
        <v>46220.772511574076</v>
      </c>
      <c r="P160" s="35" t="s">
        <v>109</v>
      </c>
      <c r="Q160" s="35" t="s">
        <v>79</v>
      </c>
      <c r="R160" s="33">
        <v>46122</v>
      </c>
      <c r="S160" s="30" t="s">
        <v>21</v>
      </c>
      <c r="T160" s="36">
        <v>159</v>
      </c>
      <c r="U160" s="30" t="s">
        <v>74</v>
      </c>
      <c r="V160" s="30" t="s">
        <v>73</v>
      </c>
    </row>
    <row r="161" spans="1:22" ht="60" x14ac:dyDescent="0.25">
      <c r="A161" s="30" t="s">
        <v>192</v>
      </c>
      <c r="B161" s="30" t="s">
        <v>177</v>
      </c>
      <c r="C161" s="30" t="s">
        <v>91</v>
      </c>
      <c r="D161" s="31" t="s">
        <v>193</v>
      </c>
      <c r="E161" s="30" t="s">
        <v>67</v>
      </c>
      <c r="F161" s="30" t="s">
        <v>18</v>
      </c>
      <c r="G161" s="31" t="s">
        <v>194</v>
      </c>
      <c r="H161" s="32">
        <v>0.28029999999999999</v>
      </c>
      <c r="I161" s="31"/>
      <c r="J161" s="33">
        <v>46113</v>
      </c>
      <c r="K161" s="32">
        <v>0.29420000000000002</v>
      </c>
      <c r="L161" s="32">
        <v>1.0494000000000001</v>
      </c>
      <c r="M161" s="32">
        <v>1</v>
      </c>
      <c r="N161" s="31" t="s">
        <v>198</v>
      </c>
      <c r="O161" s="34">
        <v>46220.773206018515</v>
      </c>
      <c r="P161" s="35" t="s">
        <v>109</v>
      </c>
      <c r="Q161" s="35" t="s">
        <v>79</v>
      </c>
      <c r="R161" s="33">
        <v>46153</v>
      </c>
      <c r="S161" s="30" t="s">
        <v>21</v>
      </c>
      <c r="T161" s="36">
        <v>160</v>
      </c>
      <c r="U161" s="30" t="s">
        <v>74</v>
      </c>
      <c r="V161" s="30" t="s">
        <v>73</v>
      </c>
    </row>
    <row r="162" spans="1:22" ht="60" x14ac:dyDescent="0.25">
      <c r="A162" s="30" t="s">
        <v>192</v>
      </c>
      <c r="B162" s="30" t="s">
        <v>177</v>
      </c>
      <c r="C162" s="30" t="s">
        <v>91</v>
      </c>
      <c r="D162" s="31" t="s">
        <v>193</v>
      </c>
      <c r="E162" s="30" t="s">
        <v>67</v>
      </c>
      <c r="F162" s="30" t="s">
        <v>18</v>
      </c>
      <c r="G162" s="31" t="s">
        <v>194</v>
      </c>
      <c r="H162" s="32">
        <v>0.27979999999999999</v>
      </c>
      <c r="I162" s="31"/>
      <c r="J162" s="33">
        <v>46143</v>
      </c>
      <c r="K162" s="32">
        <v>0.29220000000000002</v>
      </c>
      <c r="L162" s="32">
        <v>1.0445</v>
      </c>
      <c r="M162" s="32">
        <v>1</v>
      </c>
      <c r="N162" s="31" t="s">
        <v>198</v>
      </c>
      <c r="O162" s="34">
        <v>46220.773715277777</v>
      </c>
      <c r="P162" s="35" t="s">
        <v>109</v>
      </c>
      <c r="Q162" s="35" t="s">
        <v>79</v>
      </c>
      <c r="R162" s="33">
        <v>46183</v>
      </c>
      <c r="S162" s="30" t="s">
        <v>21</v>
      </c>
      <c r="T162" s="36">
        <v>161</v>
      </c>
      <c r="U162" s="30" t="s">
        <v>74</v>
      </c>
      <c r="V162" s="30" t="s">
        <v>73</v>
      </c>
    </row>
    <row r="163" spans="1:22" ht="75" x14ac:dyDescent="0.25">
      <c r="A163" s="30" t="s">
        <v>192</v>
      </c>
      <c r="B163" s="30" t="s">
        <v>177</v>
      </c>
      <c r="C163" s="30" t="s">
        <v>91</v>
      </c>
      <c r="D163" s="31" t="s">
        <v>193</v>
      </c>
      <c r="E163" s="30" t="s">
        <v>67</v>
      </c>
      <c r="F163" s="30" t="s">
        <v>18</v>
      </c>
      <c r="G163" s="31" t="s">
        <v>194</v>
      </c>
      <c r="H163" s="32">
        <v>0.27979999999999999</v>
      </c>
      <c r="I163" s="31"/>
      <c r="J163" s="33">
        <v>46174</v>
      </c>
      <c r="K163" s="32">
        <v>0.29020000000000001</v>
      </c>
      <c r="L163" s="32">
        <v>103.72</v>
      </c>
      <c r="M163" s="32">
        <v>1</v>
      </c>
      <c r="N163" s="31" t="s">
        <v>199</v>
      </c>
      <c r="O163" s="34">
        <v>46220.774189814816</v>
      </c>
      <c r="P163" s="35" t="s">
        <v>109</v>
      </c>
      <c r="Q163" s="35" t="s">
        <v>79</v>
      </c>
      <c r="R163" s="33">
        <v>46214</v>
      </c>
      <c r="S163" s="30" t="s">
        <v>21</v>
      </c>
      <c r="T163" s="36">
        <v>162</v>
      </c>
      <c r="U163" s="30" t="s">
        <v>74</v>
      </c>
      <c r="V163" s="30" t="s">
        <v>73</v>
      </c>
    </row>
    <row r="164" spans="1:22" ht="30" x14ac:dyDescent="0.25">
      <c r="A164" s="30" t="s">
        <v>192</v>
      </c>
      <c r="B164" s="30" t="s">
        <v>177</v>
      </c>
      <c r="C164" s="30" t="s">
        <v>91</v>
      </c>
      <c r="D164" s="31" t="s">
        <v>193</v>
      </c>
      <c r="E164" s="30" t="s">
        <v>67</v>
      </c>
      <c r="F164" s="30" t="s">
        <v>18</v>
      </c>
      <c r="G164" s="31" t="s">
        <v>194</v>
      </c>
      <c r="H164" s="32">
        <v>0.28149999999999997</v>
      </c>
      <c r="I164" s="31"/>
      <c r="J164" s="33">
        <v>46204</v>
      </c>
      <c r="K164" s="32">
        <v>0</v>
      </c>
      <c r="L164" s="32"/>
      <c r="M164" s="32">
        <v>0</v>
      </c>
      <c r="N164" s="31"/>
      <c r="O164" s="34">
        <v>46220.774467592593</v>
      </c>
      <c r="P164" s="35" t="s">
        <v>109</v>
      </c>
      <c r="Q164" s="35" t="s">
        <v>79</v>
      </c>
      <c r="R164" s="33">
        <v>46244</v>
      </c>
      <c r="S164" s="30" t="s">
        <v>21</v>
      </c>
      <c r="T164" s="36">
        <v>163</v>
      </c>
      <c r="U164" s="30" t="s">
        <v>74</v>
      </c>
      <c r="V164" s="30" t="s">
        <v>73</v>
      </c>
    </row>
    <row r="165" spans="1:22" ht="30" x14ac:dyDescent="0.25">
      <c r="A165" s="30" t="s">
        <v>192</v>
      </c>
      <c r="B165" s="30" t="s">
        <v>177</v>
      </c>
      <c r="C165" s="30" t="s">
        <v>91</v>
      </c>
      <c r="D165" s="31" t="s">
        <v>193</v>
      </c>
      <c r="E165" s="30" t="s">
        <v>67</v>
      </c>
      <c r="F165" s="30" t="s">
        <v>18</v>
      </c>
      <c r="G165" s="31" t="s">
        <v>194</v>
      </c>
      <c r="H165" s="32">
        <v>0.28270000000000001</v>
      </c>
      <c r="I165" s="31"/>
      <c r="J165" s="33">
        <v>46235</v>
      </c>
      <c r="K165" s="32">
        <v>0</v>
      </c>
      <c r="L165" s="32"/>
      <c r="M165" s="32">
        <v>0</v>
      </c>
      <c r="N165" s="31"/>
      <c r="O165" s="34">
        <v>46220.774652777778</v>
      </c>
      <c r="P165" s="35" t="s">
        <v>109</v>
      </c>
      <c r="Q165" s="35" t="s">
        <v>79</v>
      </c>
      <c r="R165" s="33">
        <v>46275</v>
      </c>
      <c r="S165" s="30" t="s">
        <v>21</v>
      </c>
      <c r="T165" s="36">
        <v>164</v>
      </c>
      <c r="U165" s="30" t="s">
        <v>74</v>
      </c>
      <c r="V165" s="30" t="s">
        <v>73</v>
      </c>
    </row>
    <row r="166" spans="1:22" ht="30" x14ac:dyDescent="0.25">
      <c r="A166" s="30" t="s">
        <v>192</v>
      </c>
      <c r="B166" s="30" t="s">
        <v>177</v>
      </c>
      <c r="C166" s="30" t="s">
        <v>91</v>
      </c>
      <c r="D166" s="31" t="s">
        <v>193</v>
      </c>
      <c r="E166" s="30" t="s">
        <v>67</v>
      </c>
      <c r="F166" s="30" t="s">
        <v>18</v>
      </c>
      <c r="G166" s="31" t="s">
        <v>194</v>
      </c>
      <c r="H166" s="32">
        <v>0.28370000000000001</v>
      </c>
      <c r="I166" s="31"/>
      <c r="J166" s="33">
        <v>46266</v>
      </c>
      <c r="K166" s="32">
        <v>0</v>
      </c>
      <c r="L166" s="32"/>
      <c r="M166" s="32">
        <v>0</v>
      </c>
      <c r="N166" s="31"/>
      <c r="O166" s="34">
        <v>46220.774826388886</v>
      </c>
      <c r="P166" s="35" t="s">
        <v>109</v>
      </c>
      <c r="Q166" s="35" t="s">
        <v>79</v>
      </c>
      <c r="R166" s="33">
        <v>46306</v>
      </c>
      <c r="S166" s="30" t="s">
        <v>21</v>
      </c>
      <c r="T166" s="36">
        <v>165</v>
      </c>
      <c r="U166" s="30" t="s">
        <v>74</v>
      </c>
      <c r="V166" s="30" t="s">
        <v>73</v>
      </c>
    </row>
    <row r="167" spans="1:22" ht="30" x14ac:dyDescent="0.25">
      <c r="A167" s="30" t="s">
        <v>192</v>
      </c>
      <c r="B167" s="30" t="s">
        <v>177</v>
      </c>
      <c r="C167" s="30" t="s">
        <v>91</v>
      </c>
      <c r="D167" s="31" t="s">
        <v>193</v>
      </c>
      <c r="E167" s="30" t="s">
        <v>67</v>
      </c>
      <c r="F167" s="30" t="s">
        <v>18</v>
      </c>
      <c r="G167" s="31" t="s">
        <v>194</v>
      </c>
      <c r="H167" s="32">
        <v>0.28589999999999999</v>
      </c>
      <c r="I167" s="31"/>
      <c r="J167" s="33">
        <v>46296</v>
      </c>
      <c r="K167" s="32">
        <v>0</v>
      </c>
      <c r="L167" s="32"/>
      <c r="M167" s="32">
        <v>0</v>
      </c>
      <c r="N167" s="31"/>
      <c r="O167" s="34">
        <v>46220.774988425925</v>
      </c>
      <c r="P167" s="35" t="s">
        <v>109</v>
      </c>
      <c r="Q167" s="35" t="s">
        <v>79</v>
      </c>
      <c r="R167" s="33">
        <v>46336</v>
      </c>
      <c r="S167" s="30" t="s">
        <v>21</v>
      </c>
      <c r="T167" s="36">
        <v>166</v>
      </c>
      <c r="U167" s="30" t="s">
        <v>74</v>
      </c>
      <c r="V167" s="30" t="s">
        <v>73</v>
      </c>
    </row>
    <row r="168" spans="1:22" ht="30" x14ac:dyDescent="0.25">
      <c r="A168" s="30" t="s">
        <v>192</v>
      </c>
      <c r="B168" s="30" t="s">
        <v>177</v>
      </c>
      <c r="C168" s="30" t="s">
        <v>91</v>
      </c>
      <c r="D168" s="31" t="s">
        <v>193</v>
      </c>
      <c r="E168" s="30" t="s">
        <v>67</v>
      </c>
      <c r="F168" s="30" t="s">
        <v>18</v>
      </c>
      <c r="G168" s="31" t="s">
        <v>194</v>
      </c>
      <c r="H168" s="32">
        <v>0.2878</v>
      </c>
      <c r="I168" s="31"/>
      <c r="J168" s="33">
        <v>46327</v>
      </c>
      <c r="K168" s="32">
        <v>0</v>
      </c>
      <c r="L168" s="32"/>
      <c r="M168" s="32">
        <v>0</v>
      </c>
      <c r="N168" s="31"/>
      <c r="O168" s="34">
        <v>46220.775150462963</v>
      </c>
      <c r="P168" s="35" t="s">
        <v>109</v>
      </c>
      <c r="Q168" s="35" t="s">
        <v>79</v>
      </c>
      <c r="R168" s="33">
        <v>46367</v>
      </c>
      <c r="S168" s="30" t="s">
        <v>21</v>
      </c>
      <c r="T168" s="36">
        <v>167</v>
      </c>
      <c r="U168" s="30" t="s">
        <v>74</v>
      </c>
      <c r="V168" s="30" t="s">
        <v>73</v>
      </c>
    </row>
    <row r="169" spans="1:22" ht="30" x14ac:dyDescent="0.25">
      <c r="A169" s="30" t="s">
        <v>192</v>
      </c>
      <c r="B169" s="30" t="s">
        <v>177</v>
      </c>
      <c r="C169" s="30" t="s">
        <v>91</v>
      </c>
      <c r="D169" s="31" t="s">
        <v>193</v>
      </c>
      <c r="E169" s="30" t="s">
        <v>67</v>
      </c>
      <c r="F169" s="30" t="s">
        <v>18</v>
      </c>
      <c r="G169" s="31" t="s">
        <v>194</v>
      </c>
      <c r="H169" s="32">
        <v>0.29110000000000003</v>
      </c>
      <c r="I169" s="31"/>
      <c r="J169" s="33">
        <v>46357</v>
      </c>
      <c r="K169" s="32">
        <v>0</v>
      </c>
      <c r="L169" s="32"/>
      <c r="M169" s="32">
        <v>0</v>
      </c>
      <c r="N169" s="31"/>
      <c r="O169" s="34">
        <v>46220.775347222225</v>
      </c>
      <c r="P169" s="35" t="s">
        <v>109</v>
      </c>
      <c r="Q169" s="35" t="s">
        <v>79</v>
      </c>
      <c r="R169" s="33">
        <v>46397</v>
      </c>
      <c r="S169" s="30" t="s">
        <v>21</v>
      </c>
      <c r="T169" s="36">
        <v>168</v>
      </c>
      <c r="U169" s="30" t="s">
        <v>74</v>
      </c>
      <c r="V169" s="30" t="s">
        <v>73</v>
      </c>
    </row>
    <row r="170" spans="1:22" ht="165" x14ac:dyDescent="0.25">
      <c r="A170" s="30" t="s">
        <v>200</v>
      </c>
      <c r="B170" s="30" t="s">
        <v>177</v>
      </c>
      <c r="C170" s="30" t="s">
        <v>91</v>
      </c>
      <c r="D170" s="31" t="s">
        <v>201</v>
      </c>
      <c r="E170" s="30" t="s">
        <v>149</v>
      </c>
      <c r="F170" s="30" t="s">
        <v>18</v>
      </c>
      <c r="G170" s="31" t="s">
        <v>202</v>
      </c>
      <c r="H170" s="32">
        <v>0.63</v>
      </c>
      <c r="I170" s="31"/>
      <c r="J170" s="33">
        <v>46023</v>
      </c>
      <c r="K170" s="32">
        <v>0.67</v>
      </c>
      <c r="L170" s="32">
        <v>1.0900000000000001</v>
      </c>
      <c r="M170" s="32">
        <v>1</v>
      </c>
      <c r="N170" s="31" t="s">
        <v>203</v>
      </c>
      <c r="O170" s="34">
        <v>46220.781921296293</v>
      </c>
      <c r="P170" s="35" t="s">
        <v>109</v>
      </c>
      <c r="Q170" s="35" t="s">
        <v>70</v>
      </c>
      <c r="R170" s="33">
        <v>46063</v>
      </c>
      <c r="S170" s="30" t="s">
        <v>95</v>
      </c>
      <c r="T170" s="36">
        <v>169</v>
      </c>
      <c r="U170" s="30" t="s">
        <v>74</v>
      </c>
      <c r="V170" s="30" t="s">
        <v>73</v>
      </c>
    </row>
    <row r="171" spans="1:22" ht="120" x14ac:dyDescent="0.25">
      <c r="A171" s="30" t="s">
        <v>200</v>
      </c>
      <c r="B171" s="30" t="s">
        <v>177</v>
      </c>
      <c r="C171" s="30" t="s">
        <v>91</v>
      </c>
      <c r="D171" s="31" t="s">
        <v>201</v>
      </c>
      <c r="E171" s="30" t="s">
        <v>149</v>
      </c>
      <c r="F171" s="30" t="s">
        <v>18</v>
      </c>
      <c r="G171" s="31" t="s">
        <v>202</v>
      </c>
      <c r="H171" s="32">
        <v>0.61</v>
      </c>
      <c r="I171" s="31"/>
      <c r="J171" s="33">
        <v>46054</v>
      </c>
      <c r="K171" s="32">
        <v>0.67159999999999997</v>
      </c>
      <c r="L171" s="32">
        <v>1.1093</v>
      </c>
      <c r="M171" s="32">
        <v>1</v>
      </c>
      <c r="N171" s="31" t="s">
        <v>204</v>
      </c>
      <c r="O171" s="34">
        <v>46220.781736111108</v>
      </c>
      <c r="P171" s="35" t="s">
        <v>109</v>
      </c>
      <c r="Q171" s="35" t="s">
        <v>70</v>
      </c>
      <c r="R171" s="33">
        <v>46094</v>
      </c>
      <c r="S171" s="30" t="s">
        <v>95</v>
      </c>
      <c r="T171" s="36">
        <v>170</v>
      </c>
      <c r="U171" s="30" t="s">
        <v>74</v>
      </c>
      <c r="V171" s="30" t="s">
        <v>73</v>
      </c>
    </row>
    <row r="172" spans="1:22" ht="105" x14ac:dyDescent="0.25">
      <c r="A172" s="30" t="s">
        <v>200</v>
      </c>
      <c r="B172" s="30" t="s">
        <v>177</v>
      </c>
      <c r="C172" s="30" t="s">
        <v>91</v>
      </c>
      <c r="D172" s="31" t="s">
        <v>201</v>
      </c>
      <c r="E172" s="30" t="s">
        <v>149</v>
      </c>
      <c r="F172" s="30" t="s">
        <v>18</v>
      </c>
      <c r="G172" s="31" t="s">
        <v>202</v>
      </c>
      <c r="H172" s="32">
        <v>0.61</v>
      </c>
      <c r="I172" s="31"/>
      <c r="J172" s="33">
        <v>46082</v>
      </c>
      <c r="K172" s="32">
        <v>0.66839999999999999</v>
      </c>
      <c r="L172" s="32">
        <v>1.1009</v>
      </c>
      <c r="M172" s="32">
        <v>1</v>
      </c>
      <c r="N172" s="31" t="s">
        <v>205</v>
      </c>
      <c r="O172" s="34">
        <v>46220.782650462963</v>
      </c>
      <c r="P172" s="35" t="s">
        <v>109</v>
      </c>
      <c r="Q172" s="35" t="s">
        <v>70</v>
      </c>
      <c r="R172" s="33">
        <v>46122</v>
      </c>
      <c r="S172" s="30" t="s">
        <v>95</v>
      </c>
      <c r="T172" s="36">
        <v>171</v>
      </c>
      <c r="U172" s="30" t="s">
        <v>74</v>
      </c>
      <c r="V172" s="30" t="s">
        <v>73</v>
      </c>
    </row>
    <row r="173" spans="1:22" ht="165" x14ac:dyDescent="0.25">
      <c r="A173" s="30" t="s">
        <v>200</v>
      </c>
      <c r="B173" s="30" t="s">
        <v>177</v>
      </c>
      <c r="C173" s="30" t="s">
        <v>91</v>
      </c>
      <c r="D173" s="31" t="s">
        <v>201</v>
      </c>
      <c r="E173" s="30" t="s">
        <v>149</v>
      </c>
      <c r="F173" s="30" t="s">
        <v>18</v>
      </c>
      <c r="G173" s="31" t="s">
        <v>202</v>
      </c>
      <c r="H173" s="32">
        <v>0.61</v>
      </c>
      <c r="I173" s="31"/>
      <c r="J173" s="33">
        <v>46113</v>
      </c>
      <c r="K173" s="32">
        <v>0.66720000000000002</v>
      </c>
      <c r="L173" s="32">
        <v>1.0963000000000001</v>
      </c>
      <c r="M173" s="32">
        <v>1</v>
      </c>
      <c r="N173" s="31" t="s">
        <v>206</v>
      </c>
      <c r="O173" s="34">
        <v>46220.78334490741</v>
      </c>
      <c r="P173" s="35" t="s">
        <v>109</v>
      </c>
      <c r="Q173" s="35" t="s">
        <v>79</v>
      </c>
      <c r="R173" s="33">
        <v>46153</v>
      </c>
      <c r="S173" s="30" t="s">
        <v>95</v>
      </c>
      <c r="T173" s="36">
        <v>172</v>
      </c>
      <c r="U173" s="30" t="s">
        <v>74</v>
      </c>
      <c r="V173" s="30" t="s">
        <v>73</v>
      </c>
    </row>
    <row r="174" spans="1:22" ht="165" x14ac:dyDescent="0.25">
      <c r="A174" s="30" t="s">
        <v>200</v>
      </c>
      <c r="B174" s="30" t="s">
        <v>177</v>
      </c>
      <c r="C174" s="30" t="s">
        <v>91</v>
      </c>
      <c r="D174" s="31" t="s">
        <v>201</v>
      </c>
      <c r="E174" s="30" t="s">
        <v>149</v>
      </c>
      <c r="F174" s="30" t="s">
        <v>18</v>
      </c>
      <c r="G174" s="31" t="s">
        <v>202</v>
      </c>
      <c r="H174" s="32">
        <v>0.61</v>
      </c>
      <c r="I174" s="31"/>
      <c r="J174" s="33">
        <v>46143</v>
      </c>
      <c r="K174" s="32">
        <v>0.6694</v>
      </c>
      <c r="L174" s="32">
        <v>1.0948</v>
      </c>
      <c r="M174" s="32">
        <v>1</v>
      </c>
      <c r="N174" s="31" t="s">
        <v>207</v>
      </c>
      <c r="O174" s="34">
        <v>46220.78392361111</v>
      </c>
      <c r="P174" s="35" t="s">
        <v>109</v>
      </c>
      <c r="Q174" s="35" t="s">
        <v>79</v>
      </c>
      <c r="R174" s="33">
        <v>46183</v>
      </c>
      <c r="S174" s="30" t="s">
        <v>95</v>
      </c>
      <c r="T174" s="36">
        <v>173</v>
      </c>
      <c r="U174" s="30" t="s">
        <v>74</v>
      </c>
      <c r="V174" s="30" t="s">
        <v>73</v>
      </c>
    </row>
    <row r="175" spans="1:22" ht="150" x14ac:dyDescent="0.25">
      <c r="A175" s="30" t="s">
        <v>200</v>
      </c>
      <c r="B175" s="30" t="s">
        <v>177</v>
      </c>
      <c r="C175" s="30" t="s">
        <v>91</v>
      </c>
      <c r="D175" s="31" t="s">
        <v>201</v>
      </c>
      <c r="E175" s="30" t="s">
        <v>149</v>
      </c>
      <c r="F175" s="30" t="s">
        <v>18</v>
      </c>
      <c r="G175" s="31" t="s">
        <v>202</v>
      </c>
      <c r="H175" s="32">
        <v>0.62</v>
      </c>
      <c r="I175" s="31"/>
      <c r="J175" s="33">
        <v>46174</v>
      </c>
      <c r="K175" s="32">
        <v>0.67130000000000001</v>
      </c>
      <c r="L175" s="32">
        <v>1.0913999999999999</v>
      </c>
      <c r="M175" s="32">
        <v>1</v>
      </c>
      <c r="N175" s="31" t="s">
        <v>208</v>
      </c>
      <c r="O175" s="34">
        <v>46220.784560185188</v>
      </c>
      <c r="P175" s="35" t="s">
        <v>109</v>
      </c>
      <c r="Q175" s="35" t="s">
        <v>79</v>
      </c>
      <c r="R175" s="33">
        <v>46214</v>
      </c>
      <c r="S175" s="30" t="s">
        <v>95</v>
      </c>
      <c r="T175" s="36">
        <v>174</v>
      </c>
      <c r="U175" s="30" t="s">
        <v>74</v>
      </c>
      <c r="V175" s="30" t="s">
        <v>73</v>
      </c>
    </row>
    <row r="176" spans="1:22" ht="45" x14ac:dyDescent="0.25">
      <c r="A176" s="30" t="s">
        <v>200</v>
      </c>
      <c r="B176" s="30" t="s">
        <v>177</v>
      </c>
      <c r="C176" s="30" t="s">
        <v>91</v>
      </c>
      <c r="D176" s="31" t="s">
        <v>201</v>
      </c>
      <c r="E176" s="30" t="s">
        <v>149</v>
      </c>
      <c r="F176" s="30" t="s">
        <v>18</v>
      </c>
      <c r="G176" s="31" t="s">
        <v>202</v>
      </c>
      <c r="H176" s="32">
        <v>0.62</v>
      </c>
      <c r="I176" s="31"/>
      <c r="J176" s="33">
        <v>46204</v>
      </c>
      <c r="K176" s="32">
        <v>0</v>
      </c>
      <c r="L176" s="32"/>
      <c r="M176" s="32">
        <v>0</v>
      </c>
      <c r="N176" s="31"/>
      <c r="O176" s="34">
        <v>46220.784814814811</v>
      </c>
      <c r="P176" s="35" t="s">
        <v>109</v>
      </c>
      <c r="Q176" s="35" t="s">
        <v>79</v>
      </c>
      <c r="R176" s="33">
        <v>46244</v>
      </c>
      <c r="S176" s="30" t="s">
        <v>95</v>
      </c>
      <c r="T176" s="36">
        <v>175</v>
      </c>
      <c r="U176" s="30" t="s">
        <v>74</v>
      </c>
      <c r="V176" s="30" t="s">
        <v>73</v>
      </c>
    </row>
    <row r="177" spans="1:22" ht="45" x14ac:dyDescent="0.25">
      <c r="A177" s="30" t="s">
        <v>200</v>
      </c>
      <c r="B177" s="30" t="s">
        <v>177</v>
      </c>
      <c r="C177" s="30" t="s">
        <v>91</v>
      </c>
      <c r="D177" s="31" t="s">
        <v>201</v>
      </c>
      <c r="E177" s="30" t="s">
        <v>149</v>
      </c>
      <c r="F177" s="30" t="s">
        <v>18</v>
      </c>
      <c r="G177" s="31" t="s">
        <v>202</v>
      </c>
      <c r="H177" s="32">
        <v>0.63</v>
      </c>
      <c r="I177" s="31"/>
      <c r="J177" s="33">
        <v>46235</v>
      </c>
      <c r="K177" s="32">
        <v>0</v>
      </c>
      <c r="L177" s="32"/>
      <c r="M177" s="32">
        <v>0</v>
      </c>
      <c r="N177" s="31"/>
      <c r="O177" s="34">
        <v>46220.785011574073</v>
      </c>
      <c r="P177" s="35" t="s">
        <v>109</v>
      </c>
      <c r="Q177" s="35" t="s">
        <v>79</v>
      </c>
      <c r="R177" s="33">
        <v>46275</v>
      </c>
      <c r="S177" s="30" t="s">
        <v>95</v>
      </c>
      <c r="T177" s="36">
        <v>176</v>
      </c>
      <c r="U177" s="30" t="s">
        <v>74</v>
      </c>
      <c r="V177" s="30" t="s">
        <v>73</v>
      </c>
    </row>
    <row r="178" spans="1:22" ht="45" x14ac:dyDescent="0.25">
      <c r="A178" s="30" t="s">
        <v>200</v>
      </c>
      <c r="B178" s="30" t="s">
        <v>177</v>
      </c>
      <c r="C178" s="30" t="s">
        <v>91</v>
      </c>
      <c r="D178" s="31" t="s">
        <v>201</v>
      </c>
      <c r="E178" s="30" t="s">
        <v>149</v>
      </c>
      <c r="F178" s="30" t="s">
        <v>18</v>
      </c>
      <c r="G178" s="31" t="s">
        <v>202</v>
      </c>
      <c r="H178" s="32">
        <v>0.63</v>
      </c>
      <c r="I178" s="31"/>
      <c r="J178" s="33">
        <v>46266</v>
      </c>
      <c r="K178" s="32">
        <v>0</v>
      </c>
      <c r="L178" s="32"/>
      <c r="M178" s="32">
        <v>0</v>
      </c>
      <c r="N178" s="31"/>
      <c r="O178" s="34">
        <v>46220.785173611112</v>
      </c>
      <c r="P178" s="35" t="s">
        <v>109</v>
      </c>
      <c r="Q178" s="35" t="s">
        <v>79</v>
      </c>
      <c r="R178" s="33">
        <v>46306</v>
      </c>
      <c r="S178" s="30" t="s">
        <v>95</v>
      </c>
      <c r="T178" s="36">
        <v>177</v>
      </c>
      <c r="U178" s="30" t="s">
        <v>74</v>
      </c>
      <c r="V178" s="30" t="s">
        <v>73</v>
      </c>
    </row>
    <row r="179" spans="1:22" ht="45" x14ac:dyDescent="0.25">
      <c r="A179" s="30" t="s">
        <v>200</v>
      </c>
      <c r="B179" s="30" t="s">
        <v>177</v>
      </c>
      <c r="C179" s="30" t="s">
        <v>91</v>
      </c>
      <c r="D179" s="31" t="s">
        <v>201</v>
      </c>
      <c r="E179" s="30" t="s">
        <v>149</v>
      </c>
      <c r="F179" s="30" t="s">
        <v>18</v>
      </c>
      <c r="G179" s="31" t="s">
        <v>202</v>
      </c>
      <c r="H179" s="32">
        <v>0.63</v>
      </c>
      <c r="I179" s="31"/>
      <c r="J179" s="33">
        <v>46296</v>
      </c>
      <c r="K179" s="32">
        <v>0</v>
      </c>
      <c r="L179" s="32"/>
      <c r="M179" s="32">
        <v>0</v>
      </c>
      <c r="N179" s="31"/>
      <c r="O179" s="34">
        <v>46220.78528935185</v>
      </c>
      <c r="P179" s="35" t="s">
        <v>109</v>
      </c>
      <c r="Q179" s="35" t="s">
        <v>79</v>
      </c>
      <c r="R179" s="33">
        <v>46336</v>
      </c>
      <c r="S179" s="30" t="s">
        <v>95</v>
      </c>
      <c r="T179" s="36">
        <v>178</v>
      </c>
      <c r="U179" s="30" t="s">
        <v>74</v>
      </c>
      <c r="V179" s="30" t="s">
        <v>73</v>
      </c>
    </row>
    <row r="180" spans="1:22" ht="45" x14ac:dyDescent="0.25">
      <c r="A180" s="30" t="s">
        <v>200</v>
      </c>
      <c r="B180" s="30" t="s">
        <v>177</v>
      </c>
      <c r="C180" s="30" t="s">
        <v>91</v>
      </c>
      <c r="D180" s="31" t="s">
        <v>201</v>
      </c>
      <c r="E180" s="30" t="s">
        <v>149</v>
      </c>
      <c r="F180" s="30" t="s">
        <v>18</v>
      </c>
      <c r="G180" s="31" t="s">
        <v>202</v>
      </c>
      <c r="H180" s="32">
        <v>0.64</v>
      </c>
      <c r="I180" s="31"/>
      <c r="J180" s="33">
        <v>46327</v>
      </c>
      <c r="K180" s="32">
        <v>0</v>
      </c>
      <c r="L180" s="32"/>
      <c r="M180" s="32">
        <v>0</v>
      </c>
      <c r="N180" s="31"/>
      <c r="O180" s="34">
        <v>46220.785474537035</v>
      </c>
      <c r="P180" s="35" t="s">
        <v>109</v>
      </c>
      <c r="Q180" s="35" t="s">
        <v>79</v>
      </c>
      <c r="R180" s="33">
        <v>46367</v>
      </c>
      <c r="S180" s="30" t="s">
        <v>95</v>
      </c>
      <c r="T180" s="36">
        <v>179</v>
      </c>
      <c r="U180" s="30" t="s">
        <v>74</v>
      </c>
      <c r="V180" s="30" t="s">
        <v>73</v>
      </c>
    </row>
    <row r="181" spans="1:22" ht="45" x14ac:dyDescent="0.25">
      <c r="A181" s="30" t="s">
        <v>200</v>
      </c>
      <c r="B181" s="30" t="s">
        <v>177</v>
      </c>
      <c r="C181" s="30" t="s">
        <v>91</v>
      </c>
      <c r="D181" s="31" t="s">
        <v>201</v>
      </c>
      <c r="E181" s="30" t="s">
        <v>149</v>
      </c>
      <c r="F181" s="30" t="s">
        <v>18</v>
      </c>
      <c r="G181" s="31" t="s">
        <v>202</v>
      </c>
      <c r="H181" s="32">
        <v>0.65</v>
      </c>
      <c r="I181" s="31"/>
      <c r="J181" s="33">
        <v>46357</v>
      </c>
      <c r="K181" s="32">
        <v>0</v>
      </c>
      <c r="L181" s="32"/>
      <c r="M181" s="32">
        <v>0</v>
      </c>
      <c r="N181" s="31"/>
      <c r="O181" s="34">
        <v>46220.785555555558</v>
      </c>
      <c r="P181" s="35" t="s">
        <v>109</v>
      </c>
      <c r="Q181" s="35" t="s">
        <v>79</v>
      </c>
      <c r="R181" s="33">
        <v>46397</v>
      </c>
      <c r="S181" s="30" t="s">
        <v>95</v>
      </c>
      <c r="T181" s="36">
        <v>180</v>
      </c>
      <c r="U181" s="30" t="s">
        <v>74</v>
      </c>
      <c r="V181" s="30" t="s">
        <v>73</v>
      </c>
    </row>
    <row r="182" spans="1:22" ht="45" x14ac:dyDescent="0.25">
      <c r="A182" s="30" t="s">
        <v>209</v>
      </c>
      <c r="B182" s="30" t="s">
        <v>177</v>
      </c>
      <c r="C182" s="30" t="s">
        <v>122</v>
      </c>
      <c r="D182" s="31" t="s">
        <v>209</v>
      </c>
      <c r="E182" s="30" t="s">
        <v>67</v>
      </c>
      <c r="F182" s="30" t="s">
        <v>18</v>
      </c>
      <c r="G182" s="31" t="s">
        <v>210</v>
      </c>
      <c r="H182" s="32">
        <v>0</v>
      </c>
      <c r="I182" s="31"/>
      <c r="J182" s="33">
        <v>46023</v>
      </c>
      <c r="K182" s="32">
        <v>0</v>
      </c>
      <c r="L182" s="32">
        <v>0</v>
      </c>
      <c r="M182" s="32">
        <v>0</v>
      </c>
      <c r="N182" s="31" t="s">
        <v>211</v>
      </c>
      <c r="O182" s="34">
        <v>46129.697962962964</v>
      </c>
      <c r="P182" s="35" t="s">
        <v>87</v>
      </c>
      <c r="Q182" s="35" t="s">
        <v>70</v>
      </c>
      <c r="R182" s="33">
        <v>46063</v>
      </c>
      <c r="S182" s="30" t="s">
        <v>85</v>
      </c>
      <c r="T182" s="36">
        <v>181</v>
      </c>
      <c r="U182" s="30" t="s">
        <v>74</v>
      </c>
      <c r="V182" s="30" t="s">
        <v>73</v>
      </c>
    </row>
    <row r="183" spans="1:22" ht="45" x14ac:dyDescent="0.25">
      <c r="A183" s="30" t="s">
        <v>209</v>
      </c>
      <c r="B183" s="30" t="s">
        <v>177</v>
      </c>
      <c r="C183" s="30" t="s">
        <v>122</v>
      </c>
      <c r="D183" s="31" t="s">
        <v>209</v>
      </c>
      <c r="E183" s="30" t="s">
        <v>67</v>
      </c>
      <c r="F183" s="30" t="s">
        <v>18</v>
      </c>
      <c r="G183" s="31" t="s">
        <v>210</v>
      </c>
      <c r="H183" s="32">
        <v>0</v>
      </c>
      <c r="I183" s="31"/>
      <c r="J183" s="33">
        <v>46054</v>
      </c>
      <c r="K183" s="32">
        <v>0</v>
      </c>
      <c r="L183" s="32">
        <v>0</v>
      </c>
      <c r="M183" s="32">
        <v>0</v>
      </c>
      <c r="N183" s="31" t="s">
        <v>212</v>
      </c>
      <c r="O183" s="34">
        <v>46129.697870370372</v>
      </c>
      <c r="P183" s="35" t="s">
        <v>87</v>
      </c>
      <c r="Q183" s="35" t="s">
        <v>70</v>
      </c>
      <c r="R183" s="33">
        <v>46094</v>
      </c>
      <c r="S183" s="30" t="s">
        <v>85</v>
      </c>
      <c r="T183" s="36">
        <v>182</v>
      </c>
      <c r="U183" s="30" t="s">
        <v>74</v>
      </c>
      <c r="V183" s="30" t="s">
        <v>73</v>
      </c>
    </row>
    <row r="184" spans="1:22" ht="105" x14ac:dyDescent="0.25">
      <c r="A184" s="30" t="s">
        <v>209</v>
      </c>
      <c r="B184" s="30" t="s">
        <v>177</v>
      </c>
      <c r="C184" s="30" t="s">
        <v>122</v>
      </c>
      <c r="D184" s="31" t="s">
        <v>209</v>
      </c>
      <c r="E184" s="30" t="s">
        <v>67</v>
      </c>
      <c r="F184" s="30" t="s">
        <v>18</v>
      </c>
      <c r="G184" s="31" t="s">
        <v>210</v>
      </c>
      <c r="H184" s="32">
        <v>0.35</v>
      </c>
      <c r="I184" s="31"/>
      <c r="J184" s="33">
        <v>46082</v>
      </c>
      <c r="K184" s="32">
        <v>0</v>
      </c>
      <c r="L184" s="32">
        <v>0</v>
      </c>
      <c r="M184" s="32">
        <v>0</v>
      </c>
      <c r="N184" s="31" t="s">
        <v>213</v>
      </c>
      <c r="O184" s="34">
        <v>46204.673194444447</v>
      </c>
      <c r="P184" s="35" t="s">
        <v>109</v>
      </c>
      <c r="Q184" s="35" t="s">
        <v>70</v>
      </c>
      <c r="R184" s="33">
        <v>46122</v>
      </c>
      <c r="S184" s="30" t="s">
        <v>85</v>
      </c>
      <c r="T184" s="36">
        <v>183</v>
      </c>
      <c r="U184" s="30" t="s">
        <v>74</v>
      </c>
      <c r="V184" s="30" t="s">
        <v>73</v>
      </c>
    </row>
    <row r="185" spans="1:22" ht="45" x14ac:dyDescent="0.25">
      <c r="A185" s="30" t="s">
        <v>209</v>
      </c>
      <c r="B185" s="30" t="s">
        <v>177</v>
      </c>
      <c r="C185" s="30" t="s">
        <v>122</v>
      </c>
      <c r="D185" s="31" t="s">
        <v>209</v>
      </c>
      <c r="E185" s="30" t="s">
        <v>67</v>
      </c>
      <c r="F185" s="30" t="s">
        <v>18</v>
      </c>
      <c r="G185" s="31" t="s">
        <v>210</v>
      </c>
      <c r="H185" s="32">
        <v>0</v>
      </c>
      <c r="I185" s="31"/>
      <c r="J185" s="33">
        <v>46113</v>
      </c>
      <c r="K185" s="32">
        <v>0.7</v>
      </c>
      <c r="L185" s="32">
        <v>0</v>
      </c>
      <c r="M185" s="32">
        <v>0</v>
      </c>
      <c r="N185" s="31" t="s">
        <v>214</v>
      </c>
      <c r="O185" s="34">
        <v>46220.739212962966</v>
      </c>
      <c r="P185" s="35" t="s">
        <v>76</v>
      </c>
      <c r="Q185" s="35" t="s">
        <v>79</v>
      </c>
      <c r="R185" s="33">
        <v>46153</v>
      </c>
      <c r="S185" s="30" t="s">
        <v>85</v>
      </c>
      <c r="T185" s="36">
        <v>184</v>
      </c>
      <c r="U185" s="30" t="s">
        <v>74</v>
      </c>
      <c r="V185" s="30" t="s">
        <v>73</v>
      </c>
    </row>
    <row r="186" spans="1:22" ht="315" x14ac:dyDescent="0.25">
      <c r="A186" s="30" t="s">
        <v>209</v>
      </c>
      <c r="B186" s="30" t="s">
        <v>177</v>
      </c>
      <c r="C186" s="30" t="s">
        <v>122</v>
      </c>
      <c r="D186" s="31" t="s">
        <v>209</v>
      </c>
      <c r="E186" s="30" t="s">
        <v>67</v>
      </c>
      <c r="F186" s="30" t="s">
        <v>18</v>
      </c>
      <c r="G186" s="31" t="s">
        <v>210</v>
      </c>
      <c r="H186" s="32">
        <v>0</v>
      </c>
      <c r="I186" s="31"/>
      <c r="J186" s="33">
        <v>46143</v>
      </c>
      <c r="K186" s="32">
        <v>0.7</v>
      </c>
      <c r="L186" s="32">
        <v>0</v>
      </c>
      <c r="M186" s="32">
        <v>0</v>
      </c>
      <c r="N186" s="31" t="s">
        <v>215</v>
      </c>
      <c r="O186" s="34">
        <v>46220.74009259259</v>
      </c>
      <c r="P186" s="35" t="s">
        <v>76</v>
      </c>
      <c r="Q186" s="35" t="s">
        <v>79</v>
      </c>
      <c r="R186" s="33">
        <v>46183</v>
      </c>
      <c r="S186" s="30" t="s">
        <v>85</v>
      </c>
      <c r="T186" s="36">
        <v>185</v>
      </c>
      <c r="U186" s="30" t="s">
        <v>74</v>
      </c>
      <c r="V186" s="30" t="s">
        <v>73</v>
      </c>
    </row>
    <row r="187" spans="1:22" ht="315" x14ac:dyDescent="0.25">
      <c r="A187" s="30" t="s">
        <v>209</v>
      </c>
      <c r="B187" s="30" t="s">
        <v>177</v>
      </c>
      <c r="C187" s="30" t="s">
        <v>122</v>
      </c>
      <c r="D187" s="31" t="s">
        <v>209</v>
      </c>
      <c r="E187" s="30" t="s">
        <v>67</v>
      </c>
      <c r="F187" s="30" t="s">
        <v>18</v>
      </c>
      <c r="G187" s="31" t="s">
        <v>210</v>
      </c>
      <c r="H187" s="32">
        <v>0.7</v>
      </c>
      <c r="I187" s="31"/>
      <c r="J187" s="33">
        <v>46174</v>
      </c>
      <c r="K187" s="32">
        <v>0.7</v>
      </c>
      <c r="L187" s="32">
        <v>1</v>
      </c>
      <c r="M187" s="32">
        <v>1</v>
      </c>
      <c r="N187" s="31" t="s">
        <v>215</v>
      </c>
      <c r="O187" s="34">
        <v>46220.740567129629</v>
      </c>
      <c r="P187" s="35" t="s">
        <v>76</v>
      </c>
      <c r="Q187" s="35" t="s">
        <v>79</v>
      </c>
      <c r="R187" s="33">
        <v>46214</v>
      </c>
      <c r="S187" s="30" t="s">
        <v>85</v>
      </c>
      <c r="T187" s="36">
        <v>186</v>
      </c>
      <c r="U187" s="30" t="s">
        <v>74</v>
      </c>
      <c r="V187" s="30" t="s">
        <v>73</v>
      </c>
    </row>
    <row r="188" spans="1:22" ht="45" x14ac:dyDescent="0.25">
      <c r="A188" s="30" t="s">
        <v>209</v>
      </c>
      <c r="B188" s="30" t="s">
        <v>177</v>
      </c>
      <c r="C188" s="30" t="s">
        <v>122</v>
      </c>
      <c r="D188" s="31" t="s">
        <v>209</v>
      </c>
      <c r="E188" s="30" t="s">
        <v>67</v>
      </c>
      <c r="F188" s="30" t="s">
        <v>18</v>
      </c>
      <c r="G188" s="31" t="s">
        <v>210</v>
      </c>
      <c r="H188" s="32">
        <v>0</v>
      </c>
      <c r="I188" s="31"/>
      <c r="J188" s="33">
        <v>46204</v>
      </c>
      <c r="K188" s="32">
        <v>0</v>
      </c>
      <c r="L188" s="32"/>
      <c r="M188" s="32">
        <v>0</v>
      </c>
      <c r="N188" s="31"/>
      <c r="O188" s="34">
        <v>46100.749814814815</v>
      </c>
      <c r="P188" s="35" t="s">
        <v>72</v>
      </c>
      <c r="Q188" s="35" t="s">
        <v>79</v>
      </c>
      <c r="R188" s="33">
        <v>46244</v>
      </c>
      <c r="S188" s="30" t="s">
        <v>85</v>
      </c>
      <c r="T188" s="36">
        <v>187</v>
      </c>
      <c r="U188" s="30" t="s">
        <v>74</v>
      </c>
      <c r="V188" s="30" t="s">
        <v>73</v>
      </c>
    </row>
    <row r="189" spans="1:22" ht="45" x14ac:dyDescent="0.25">
      <c r="A189" s="30" t="s">
        <v>209</v>
      </c>
      <c r="B189" s="30" t="s">
        <v>177</v>
      </c>
      <c r="C189" s="30" t="s">
        <v>122</v>
      </c>
      <c r="D189" s="31" t="s">
        <v>209</v>
      </c>
      <c r="E189" s="30" t="s">
        <v>67</v>
      </c>
      <c r="F189" s="30" t="s">
        <v>18</v>
      </c>
      <c r="G189" s="31" t="s">
        <v>210</v>
      </c>
      <c r="H189" s="32">
        <v>0</v>
      </c>
      <c r="I189" s="31"/>
      <c r="J189" s="33">
        <v>46235</v>
      </c>
      <c r="K189" s="32">
        <v>0</v>
      </c>
      <c r="L189" s="32"/>
      <c r="M189" s="32">
        <v>0</v>
      </c>
      <c r="N189" s="31"/>
      <c r="O189" s="34">
        <v>46100.749814814815</v>
      </c>
      <c r="P189" s="35" t="s">
        <v>72</v>
      </c>
      <c r="Q189" s="35" t="s">
        <v>79</v>
      </c>
      <c r="R189" s="33">
        <v>46275</v>
      </c>
      <c r="S189" s="30" t="s">
        <v>85</v>
      </c>
      <c r="T189" s="36">
        <v>188</v>
      </c>
      <c r="U189" s="30" t="s">
        <v>74</v>
      </c>
      <c r="V189" s="30" t="s">
        <v>73</v>
      </c>
    </row>
    <row r="190" spans="1:22" ht="45" x14ac:dyDescent="0.25">
      <c r="A190" s="30" t="s">
        <v>209</v>
      </c>
      <c r="B190" s="30" t="s">
        <v>177</v>
      </c>
      <c r="C190" s="30" t="s">
        <v>122</v>
      </c>
      <c r="D190" s="31" t="s">
        <v>209</v>
      </c>
      <c r="E190" s="30" t="s">
        <v>67</v>
      </c>
      <c r="F190" s="30" t="s">
        <v>18</v>
      </c>
      <c r="G190" s="31" t="s">
        <v>210</v>
      </c>
      <c r="H190" s="32">
        <v>0.85</v>
      </c>
      <c r="I190" s="31"/>
      <c r="J190" s="33">
        <v>46266</v>
      </c>
      <c r="K190" s="32">
        <v>0</v>
      </c>
      <c r="L190" s="32"/>
      <c r="M190" s="32">
        <v>0</v>
      </c>
      <c r="N190" s="31"/>
      <c r="O190" s="34">
        <v>46204.674976851849</v>
      </c>
      <c r="P190" s="35" t="s">
        <v>109</v>
      </c>
      <c r="Q190" s="35" t="s">
        <v>79</v>
      </c>
      <c r="R190" s="33">
        <v>46306</v>
      </c>
      <c r="S190" s="30" t="s">
        <v>85</v>
      </c>
      <c r="T190" s="36">
        <v>189</v>
      </c>
      <c r="U190" s="30" t="s">
        <v>74</v>
      </c>
      <c r="V190" s="30" t="s">
        <v>73</v>
      </c>
    </row>
    <row r="191" spans="1:22" ht="45" x14ac:dyDescent="0.25">
      <c r="A191" s="30" t="s">
        <v>209</v>
      </c>
      <c r="B191" s="30" t="s">
        <v>177</v>
      </c>
      <c r="C191" s="30" t="s">
        <v>122</v>
      </c>
      <c r="D191" s="31" t="s">
        <v>209</v>
      </c>
      <c r="E191" s="30" t="s">
        <v>67</v>
      </c>
      <c r="F191" s="30" t="s">
        <v>18</v>
      </c>
      <c r="G191" s="31" t="s">
        <v>210</v>
      </c>
      <c r="H191" s="32">
        <v>0</v>
      </c>
      <c r="I191" s="31"/>
      <c r="J191" s="33">
        <v>46296</v>
      </c>
      <c r="K191" s="32">
        <v>0</v>
      </c>
      <c r="L191" s="32"/>
      <c r="M191" s="32">
        <v>0</v>
      </c>
      <c r="N191" s="31"/>
      <c r="O191" s="34">
        <v>46100.749814814815</v>
      </c>
      <c r="P191" s="35" t="s">
        <v>72</v>
      </c>
      <c r="Q191" s="35" t="s">
        <v>79</v>
      </c>
      <c r="R191" s="33">
        <v>46336</v>
      </c>
      <c r="S191" s="30" t="s">
        <v>85</v>
      </c>
      <c r="T191" s="36">
        <v>190</v>
      </c>
      <c r="U191" s="30" t="s">
        <v>74</v>
      </c>
      <c r="V191" s="30" t="s">
        <v>73</v>
      </c>
    </row>
    <row r="192" spans="1:22" ht="45" x14ac:dyDescent="0.25">
      <c r="A192" s="30" t="s">
        <v>209</v>
      </c>
      <c r="B192" s="30" t="s">
        <v>177</v>
      </c>
      <c r="C192" s="30" t="s">
        <v>122</v>
      </c>
      <c r="D192" s="31" t="s">
        <v>209</v>
      </c>
      <c r="E192" s="30" t="s">
        <v>67</v>
      </c>
      <c r="F192" s="30" t="s">
        <v>18</v>
      </c>
      <c r="G192" s="31" t="s">
        <v>210</v>
      </c>
      <c r="H192" s="32">
        <v>0</v>
      </c>
      <c r="I192" s="31"/>
      <c r="J192" s="33">
        <v>46327</v>
      </c>
      <c r="K192" s="32">
        <v>0</v>
      </c>
      <c r="L192" s="32"/>
      <c r="M192" s="32">
        <v>0</v>
      </c>
      <c r="N192" s="31"/>
      <c r="O192" s="34">
        <v>46100.749826388892</v>
      </c>
      <c r="P192" s="35" t="s">
        <v>72</v>
      </c>
      <c r="Q192" s="35" t="s">
        <v>79</v>
      </c>
      <c r="R192" s="33">
        <v>46367</v>
      </c>
      <c r="S192" s="30" t="s">
        <v>85</v>
      </c>
      <c r="T192" s="36">
        <v>191</v>
      </c>
      <c r="U192" s="30" t="s">
        <v>74</v>
      </c>
      <c r="V192" s="30" t="s">
        <v>73</v>
      </c>
    </row>
    <row r="193" spans="1:22" ht="45" x14ac:dyDescent="0.25">
      <c r="A193" s="30" t="s">
        <v>209</v>
      </c>
      <c r="B193" s="30" t="s">
        <v>177</v>
      </c>
      <c r="C193" s="30" t="s">
        <v>122</v>
      </c>
      <c r="D193" s="31" t="s">
        <v>209</v>
      </c>
      <c r="E193" s="30" t="s">
        <v>67</v>
      </c>
      <c r="F193" s="30" t="s">
        <v>18</v>
      </c>
      <c r="G193" s="31" t="s">
        <v>210</v>
      </c>
      <c r="H193" s="32">
        <v>1</v>
      </c>
      <c r="I193" s="31"/>
      <c r="J193" s="33">
        <v>46357</v>
      </c>
      <c r="K193" s="32">
        <v>0</v>
      </c>
      <c r="L193" s="32"/>
      <c r="M193" s="32">
        <v>0</v>
      </c>
      <c r="N193" s="31"/>
      <c r="O193" s="34">
        <v>46100.749826388892</v>
      </c>
      <c r="P193" s="35" t="s">
        <v>72</v>
      </c>
      <c r="Q193" s="35" t="s">
        <v>79</v>
      </c>
      <c r="R193" s="33">
        <v>46397</v>
      </c>
      <c r="S193" s="30" t="s">
        <v>85</v>
      </c>
      <c r="T193" s="36">
        <v>192</v>
      </c>
      <c r="U193" s="30" t="s">
        <v>74</v>
      </c>
      <c r="V193" s="30" t="s">
        <v>73</v>
      </c>
    </row>
    <row r="194" spans="1:22" ht="45" x14ac:dyDescent="0.25">
      <c r="A194" s="30" t="s">
        <v>216</v>
      </c>
      <c r="B194" s="30" t="s">
        <v>177</v>
      </c>
      <c r="C194" s="30" t="s">
        <v>130</v>
      </c>
      <c r="D194" s="31" t="s">
        <v>217</v>
      </c>
      <c r="E194" s="30" t="s">
        <v>100</v>
      </c>
      <c r="F194" s="30" t="s">
        <v>19</v>
      </c>
      <c r="G194" s="31" t="s">
        <v>218</v>
      </c>
      <c r="H194" s="32">
        <v>0.42499999999999999</v>
      </c>
      <c r="I194" s="31"/>
      <c r="J194" s="33">
        <v>46023</v>
      </c>
      <c r="K194" s="32">
        <v>0.30299999999999999</v>
      </c>
      <c r="L194" s="32">
        <v>0.71294117647058797</v>
      </c>
      <c r="M194" s="32">
        <v>0.71294117647058797</v>
      </c>
      <c r="N194" s="31" t="s">
        <v>219</v>
      </c>
      <c r="O194" s="34">
        <v>46128.804791666669</v>
      </c>
      <c r="P194" s="35" t="s">
        <v>72</v>
      </c>
      <c r="Q194" s="35" t="s">
        <v>70</v>
      </c>
      <c r="R194" s="33">
        <v>46063</v>
      </c>
      <c r="S194" s="30" t="s">
        <v>21</v>
      </c>
      <c r="T194" s="36">
        <v>193</v>
      </c>
      <c r="U194" s="30" t="s">
        <v>74</v>
      </c>
      <c r="V194" s="30" t="s">
        <v>73</v>
      </c>
    </row>
    <row r="195" spans="1:22" ht="45" x14ac:dyDescent="0.25">
      <c r="A195" s="30" t="s">
        <v>216</v>
      </c>
      <c r="B195" s="30" t="s">
        <v>177</v>
      </c>
      <c r="C195" s="30" t="s">
        <v>130</v>
      </c>
      <c r="D195" s="31" t="s">
        <v>217</v>
      </c>
      <c r="E195" s="30" t="s">
        <v>100</v>
      </c>
      <c r="F195" s="30" t="s">
        <v>19</v>
      </c>
      <c r="G195" s="31" t="s">
        <v>218</v>
      </c>
      <c r="H195" s="32">
        <v>0.42499999999999999</v>
      </c>
      <c r="I195" s="31"/>
      <c r="J195" s="33">
        <v>46054</v>
      </c>
      <c r="K195" s="32">
        <v>0.35709999999999997</v>
      </c>
      <c r="L195" s="32">
        <v>0.84023529411764697</v>
      </c>
      <c r="M195" s="32">
        <v>0.84023529411764697</v>
      </c>
      <c r="N195" s="31" t="s">
        <v>220</v>
      </c>
      <c r="O195" s="34">
        <v>46128.805520833332</v>
      </c>
      <c r="P195" s="35" t="s">
        <v>72</v>
      </c>
      <c r="Q195" s="35" t="s">
        <v>70</v>
      </c>
      <c r="R195" s="33">
        <v>46094</v>
      </c>
      <c r="S195" s="30" t="s">
        <v>21</v>
      </c>
      <c r="T195" s="36">
        <v>194</v>
      </c>
      <c r="U195" s="30" t="s">
        <v>74</v>
      </c>
      <c r="V195" s="30" t="s">
        <v>73</v>
      </c>
    </row>
    <row r="196" spans="1:22" ht="45" x14ac:dyDescent="0.25">
      <c r="A196" s="30" t="s">
        <v>216</v>
      </c>
      <c r="B196" s="30" t="s">
        <v>177</v>
      </c>
      <c r="C196" s="30" t="s">
        <v>130</v>
      </c>
      <c r="D196" s="31" t="s">
        <v>217</v>
      </c>
      <c r="E196" s="30" t="s">
        <v>100</v>
      </c>
      <c r="F196" s="30" t="s">
        <v>19</v>
      </c>
      <c r="G196" s="31" t="s">
        <v>218</v>
      </c>
      <c r="H196" s="32">
        <v>0.42499999999999999</v>
      </c>
      <c r="I196" s="31"/>
      <c r="J196" s="33">
        <v>46082</v>
      </c>
      <c r="K196" s="32">
        <v>0.372</v>
      </c>
      <c r="L196" s="32">
        <v>0.87529999999999997</v>
      </c>
      <c r="M196" s="32">
        <v>0.87529999999999997</v>
      </c>
      <c r="N196" s="31" t="s">
        <v>221</v>
      </c>
      <c r="O196" s="34">
        <v>46203.788287037038</v>
      </c>
      <c r="P196" s="35" t="s">
        <v>103</v>
      </c>
      <c r="Q196" s="35" t="s">
        <v>70</v>
      </c>
      <c r="R196" s="33">
        <v>46122</v>
      </c>
      <c r="S196" s="30" t="s">
        <v>21</v>
      </c>
      <c r="T196" s="36">
        <v>195</v>
      </c>
      <c r="U196" s="30" t="s">
        <v>74</v>
      </c>
      <c r="V196" s="30" t="s">
        <v>73</v>
      </c>
    </row>
    <row r="197" spans="1:22" ht="45" x14ac:dyDescent="0.25">
      <c r="A197" s="30" t="s">
        <v>216</v>
      </c>
      <c r="B197" s="30" t="s">
        <v>177</v>
      </c>
      <c r="C197" s="30" t="s">
        <v>130</v>
      </c>
      <c r="D197" s="31" t="s">
        <v>217</v>
      </c>
      <c r="E197" s="30" t="s">
        <v>100</v>
      </c>
      <c r="F197" s="30" t="s">
        <v>19</v>
      </c>
      <c r="G197" s="31" t="s">
        <v>218</v>
      </c>
      <c r="H197" s="32">
        <v>0.42499999999999999</v>
      </c>
      <c r="I197" s="31"/>
      <c r="J197" s="33">
        <v>46113</v>
      </c>
      <c r="K197" s="32">
        <v>0.37209999999999999</v>
      </c>
      <c r="L197" s="32">
        <v>0.87549999999999994</v>
      </c>
      <c r="M197" s="32">
        <v>0.87549999999999994</v>
      </c>
      <c r="N197" s="31" t="s">
        <v>222</v>
      </c>
      <c r="O197" s="34">
        <v>46203.686898148146</v>
      </c>
      <c r="P197" s="35" t="s">
        <v>103</v>
      </c>
      <c r="Q197" s="35" t="s">
        <v>70</v>
      </c>
      <c r="R197" s="33">
        <v>46153</v>
      </c>
      <c r="S197" s="30" t="s">
        <v>21</v>
      </c>
      <c r="T197" s="36">
        <v>196</v>
      </c>
      <c r="U197" s="30" t="s">
        <v>74</v>
      </c>
      <c r="V197" s="30" t="s">
        <v>73</v>
      </c>
    </row>
    <row r="198" spans="1:22" ht="45" x14ac:dyDescent="0.25">
      <c r="A198" s="30" t="s">
        <v>216</v>
      </c>
      <c r="B198" s="30" t="s">
        <v>177</v>
      </c>
      <c r="C198" s="30" t="s">
        <v>130</v>
      </c>
      <c r="D198" s="31" t="s">
        <v>217</v>
      </c>
      <c r="E198" s="30" t="s">
        <v>100</v>
      </c>
      <c r="F198" s="30" t="s">
        <v>19</v>
      </c>
      <c r="G198" s="31" t="s">
        <v>218</v>
      </c>
      <c r="H198" s="32">
        <v>0.42499999999999999</v>
      </c>
      <c r="I198" s="31"/>
      <c r="J198" s="33">
        <v>46143</v>
      </c>
      <c r="K198" s="32">
        <v>0.35560000000000003</v>
      </c>
      <c r="L198" s="32">
        <v>0.8367</v>
      </c>
      <c r="M198" s="32">
        <v>0.8367</v>
      </c>
      <c r="N198" s="31" t="s">
        <v>223</v>
      </c>
      <c r="O198" s="34">
        <v>46203.690925925926</v>
      </c>
      <c r="P198" s="35" t="s">
        <v>103</v>
      </c>
      <c r="Q198" s="35" t="s">
        <v>70</v>
      </c>
      <c r="R198" s="33">
        <v>46183</v>
      </c>
      <c r="S198" s="30" t="s">
        <v>21</v>
      </c>
      <c r="T198" s="36">
        <v>197</v>
      </c>
      <c r="U198" s="30" t="s">
        <v>74</v>
      </c>
      <c r="V198" s="30" t="s">
        <v>73</v>
      </c>
    </row>
    <row r="199" spans="1:22" ht="75" x14ac:dyDescent="0.25">
      <c r="A199" s="30" t="s">
        <v>216</v>
      </c>
      <c r="B199" s="30" t="s">
        <v>177</v>
      </c>
      <c r="C199" s="30" t="s">
        <v>130</v>
      </c>
      <c r="D199" s="31" t="s">
        <v>217</v>
      </c>
      <c r="E199" s="30" t="s">
        <v>100</v>
      </c>
      <c r="F199" s="30" t="s">
        <v>19</v>
      </c>
      <c r="G199" s="31" t="s">
        <v>218</v>
      </c>
      <c r="H199" s="32">
        <v>0.42499999999999999</v>
      </c>
      <c r="I199" s="31"/>
      <c r="J199" s="33">
        <v>46174</v>
      </c>
      <c r="K199" s="32">
        <v>0.41299999999999998</v>
      </c>
      <c r="L199" s="32">
        <v>0.9718</v>
      </c>
      <c r="M199" s="32">
        <v>0.9718</v>
      </c>
      <c r="N199" s="31" t="s">
        <v>224</v>
      </c>
      <c r="O199" s="34">
        <v>46219.806145833332</v>
      </c>
      <c r="P199" s="35" t="s">
        <v>103</v>
      </c>
      <c r="Q199" s="35" t="s">
        <v>70</v>
      </c>
      <c r="R199" s="33">
        <v>46214</v>
      </c>
      <c r="S199" s="30" t="s">
        <v>21</v>
      </c>
      <c r="T199" s="36">
        <v>198</v>
      </c>
      <c r="U199" s="30" t="s">
        <v>74</v>
      </c>
      <c r="V199" s="30" t="s">
        <v>73</v>
      </c>
    </row>
    <row r="200" spans="1:22" ht="45" x14ac:dyDescent="0.25">
      <c r="A200" s="30" t="s">
        <v>216</v>
      </c>
      <c r="B200" s="30" t="s">
        <v>177</v>
      </c>
      <c r="C200" s="30" t="s">
        <v>130</v>
      </c>
      <c r="D200" s="31" t="s">
        <v>217</v>
      </c>
      <c r="E200" s="30" t="s">
        <v>100</v>
      </c>
      <c r="F200" s="30" t="s">
        <v>19</v>
      </c>
      <c r="G200" s="31" t="s">
        <v>218</v>
      </c>
      <c r="H200" s="32">
        <v>0.42499999999999999</v>
      </c>
      <c r="I200" s="31"/>
      <c r="J200" s="33">
        <v>46204</v>
      </c>
      <c r="K200" s="32">
        <v>0.41299999999999998</v>
      </c>
      <c r="L200" s="32">
        <v>0.97176470588235297</v>
      </c>
      <c r="M200" s="32">
        <v>0.97176470588235297</v>
      </c>
      <c r="N200" s="31" t="s">
        <v>225</v>
      </c>
      <c r="O200" s="34">
        <v>46237.707465277781</v>
      </c>
      <c r="P200" s="35" t="s">
        <v>226</v>
      </c>
      <c r="Q200" s="35" t="s">
        <v>79</v>
      </c>
      <c r="R200" s="33">
        <v>46244</v>
      </c>
      <c r="S200" s="30" t="s">
        <v>21</v>
      </c>
      <c r="T200" s="36">
        <v>199</v>
      </c>
      <c r="U200" s="30" t="s">
        <v>74</v>
      </c>
      <c r="V200" s="30" t="s">
        <v>73</v>
      </c>
    </row>
    <row r="201" spans="1:22" ht="45" x14ac:dyDescent="0.25">
      <c r="A201" s="30" t="s">
        <v>216</v>
      </c>
      <c r="B201" s="30" t="s">
        <v>177</v>
      </c>
      <c r="C201" s="30" t="s">
        <v>130</v>
      </c>
      <c r="D201" s="31" t="s">
        <v>217</v>
      </c>
      <c r="E201" s="30" t="s">
        <v>100</v>
      </c>
      <c r="F201" s="30" t="s">
        <v>19</v>
      </c>
      <c r="G201" s="31" t="s">
        <v>218</v>
      </c>
      <c r="H201" s="32">
        <v>0.42499999999999999</v>
      </c>
      <c r="I201" s="31"/>
      <c r="J201" s="33">
        <v>46235</v>
      </c>
      <c r="K201" s="32">
        <v>0</v>
      </c>
      <c r="L201" s="32"/>
      <c r="M201" s="32">
        <v>0</v>
      </c>
      <c r="N201" s="31"/>
      <c r="O201" s="34">
        <v>46100.749837962961</v>
      </c>
      <c r="P201" s="35" t="s">
        <v>72</v>
      </c>
      <c r="Q201" s="35" t="s">
        <v>79</v>
      </c>
      <c r="R201" s="33">
        <v>46275</v>
      </c>
      <c r="S201" s="30" t="s">
        <v>21</v>
      </c>
      <c r="T201" s="36">
        <v>200</v>
      </c>
      <c r="U201" s="30" t="s">
        <v>74</v>
      </c>
      <c r="V201" s="30" t="s">
        <v>73</v>
      </c>
    </row>
    <row r="202" spans="1:22" ht="45" x14ac:dyDescent="0.25">
      <c r="A202" s="30" t="s">
        <v>216</v>
      </c>
      <c r="B202" s="30" t="s">
        <v>177</v>
      </c>
      <c r="C202" s="30" t="s">
        <v>130</v>
      </c>
      <c r="D202" s="31" t="s">
        <v>217</v>
      </c>
      <c r="E202" s="30" t="s">
        <v>100</v>
      </c>
      <c r="F202" s="30" t="s">
        <v>19</v>
      </c>
      <c r="G202" s="31" t="s">
        <v>218</v>
      </c>
      <c r="H202" s="32">
        <v>0.42499999999999999</v>
      </c>
      <c r="I202" s="31"/>
      <c r="J202" s="33">
        <v>46266</v>
      </c>
      <c r="K202" s="32">
        <v>0</v>
      </c>
      <c r="L202" s="32"/>
      <c r="M202" s="32">
        <v>0</v>
      </c>
      <c r="N202" s="31"/>
      <c r="O202" s="34">
        <v>46100.749837962961</v>
      </c>
      <c r="P202" s="35" t="s">
        <v>72</v>
      </c>
      <c r="Q202" s="35" t="s">
        <v>79</v>
      </c>
      <c r="R202" s="33">
        <v>46306</v>
      </c>
      <c r="S202" s="30" t="s">
        <v>21</v>
      </c>
      <c r="T202" s="36">
        <v>201</v>
      </c>
      <c r="U202" s="30" t="s">
        <v>74</v>
      </c>
      <c r="V202" s="30" t="s">
        <v>73</v>
      </c>
    </row>
    <row r="203" spans="1:22" ht="45" x14ac:dyDescent="0.25">
      <c r="A203" s="30" t="s">
        <v>216</v>
      </c>
      <c r="B203" s="30" t="s">
        <v>177</v>
      </c>
      <c r="C203" s="30" t="s">
        <v>130</v>
      </c>
      <c r="D203" s="31" t="s">
        <v>217</v>
      </c>
      <c r="E203" s="30" t="s">
        <v>100</v>
      </c>
      <c r="F203" s="30" t="s">
        <v>19</v>
      </c>
      <c r="G203" s="31" t="s">
        <v>218</v>
      </c>
      <c r="H203" s="32">
        <v>0.42499999999999999</v>
      </c>
      <c r="I203" s="31"/>
      <c r="J203" s="33">
        <v>46296</v>
      </c>
      <c r="K203" s="32">
        <v>0</v>
      </c>
      <c r="L203" s="32"/>
      <c r="M203" s="32">
        <v>0</v>
      </c>
      <c r="N203" s="31"/>
      <c r="O203" s="34">
        <v>46100.749837962961</v>
      </c>
      <c r="P203" s="35" t="s">
        <v>72</v>
      </c>
      <c r="Q203" s="35" t="s">
        <v>79</v>
      </c>
      <c r="R203" s="33">
        <v>46336</v>
      </c>
      <c r="S203" s="30" t="s">
        <v>21</v>
      </c>
      <c r="T203" s="36">
        <v>202</v>
      </c>
      <c r="U203" s="30" t="s">
        <v>74</v>
      </c>
      <c r="V203" s="30" t="s">
        <v>73</v>
      </c>
    </row>
    <row r="204" spans="1:22" ht="45" x14ac:dyDescent="0.25">
      <c r="A204" s="30" t="s">
        <v>216</v>
      </c>
      <c r="B204" s="30" t="s">
        <v>177</v>
      </c>
      <c r="C204" s="30" t="s">
        <v>130</v>
      </c>
      <c r="D204" s="31" t="s">
        <v>217</v>
      </c>
      <c r="E204" s="30" t="s">
        <v>100</v>
      </c>
      <c r="F204" s="30" t="s">
        <v>19</v>
      </c>
      <c r="G204" s="31" t="s">
        <v>218</v>
      </c>
      <c r="H204" s="32">
        <v>0.42499999999999999</v>
      </c>
      <c r="I204" s="31"/>
      <c r="J204" s="33">
        <v>46327</v>
      </c>
      <c r="K204" s="32">
        <v>0</v>
      </c>
      <c r="L204" s="32"/>
      <c r="M204" s="32">
        <v>0</v>
      </c>
      <c r="N204" s="31"/>
      <c r="O204" s="34">
        <v>46100.749837962961</v>
      </c>
      <c r="P204" s="35" t="s">
        <v>72</v>
      </c>
      <c r="Q204" s="35" t="s">
        <v>79</v>
      </c>
      <c r="R204" s="33">
        <v>46367</v>
      </c>
      <c r="S204" s="30" t="s">
        <v>21</v>
      </c>
      <c r="T204" s="36">
        <v>203</v>
      </c>
      <c r="U204" s="30" t="s">
        <v>74</v>
      </c>
      <c r="V204" s="30" t="s">
        <v>73</v>
      </c>
    </row>
    <row r="205" spans="1:22" ht="45" x14ac:dyDescent="0.25">
      <c r="A205" s="30" t="s">
        <v>216</v>
      </c>
      <c r="B205" s="30" t="s">
        <v>177</v>
      </c>
      <c r="C205" s="30" t="s">
        <v>130</v>
      </c>
      <c r="D205" s="31" t="s">
        <v>217</v>
      </c>
      <c r="E205" s="30" t="s">
        <v>100</v>
      </c>
      <c r="F205" s="30" t="s">
        <v>19</v>
      </c>
      <c r="G205" s="31" t="s">
        <v>218</v>
      </c>
      <c r="H205" s="32">
        <v>0.42499999999999999</v>
      </c>
      <c r="I205" s="31"/>
      <c r="J205" s="33">
        <v>46357</v>
      </c>
      <c r="K205" s="32">
        <v>0</v>
      </c>
      <c r="L205" s="32"/>
      <c r="M205" s="32">
        <v>0</v>
      </c>
      <c r="N205" s="31"/>
      <c r="O205" s="34">
        <v>46100.749837962961</v>
      </c>
      <c r="P205" s="35" t="s">
        <v>72</v>
      </c>
      <c r="Q205" s="35" t="s">
        <v>79</v>
      </c>
      <c r="R205" s="33">
        <v>46397</v>
      </c>
      <c r="S205" s="30" t="s">
        <v>21</v>
      </c>
      <c r="T205" s="36">
        <v>204</v>
      </c>
      <c r="U205" s="30" t="s">
        <v>74</v>
      </c>
      <c r="V205" s="30" t="s">
        <v>73</v>
      </c>
    </row>
    <row r="206" spans="1:22" ht="45" x14ac:dyDescent="0.25">
      <c r="A206" s="30" t="s">
        <v>227</v>
      </c>
      <c r="B206" s="30" t="s">
        <v>177</v>
      </c>
      <c r="C206" s="30" t="s">
        <v>130</v>
      </c>
      <c r="D206" s="31" t="s">
        <v>228</v>
      </c>
      <c r="E206" s="30" t="s">
        <v>100</v>
      </c>
      <c r="F206" s="30" t="s">
        <v>19</v>
      </c>
      <c r="G206" s="31" t="s">
        <v>229</v>
      </c>
      <c r="H206" s="32">
        <v>0.35</v>
      </c>
      <c r="I206" s="31"/>
      <c r="J206" s="33">
        <v>46023</v>
      </c>
      <c r="K206" s="32">
        <v>0.2727</v>
      </c>
      <c r="L206" s="32">
        <v>0.77910000000000001</v>
      </c>
      <c r="M206" s="32">
        <v>0.77910000000000001</v>
      </c>
      <c r="N206" s="31" t="s">
        <v>230</v>
      </c>
      <c r="O206" s="34">
        <v>46128.786620370367</v>
      </c>
      <c r="P206" s="35" t="s">
        <v>103</v>
      </c>
      <c r="Q206" s="35" t="s">
        <v>70</v>
      </c>
      <c r="R206" s="33">
        <v>46063</v>
      </c>
      <c r="S206" s="30" t="s">
        <v>21</v>
      </c>
      <c r="T206" s="36">
        <v>205</v>
      </c>
      <c r="U206" s="30" t="s">
        <v>74</v>
      </c>
      <c r="V206" s="30" t="s">
        <v>73</v>
      </c>
    </row>
    <row r="207" spans="1:22" ht="45" x14ac:dyDescent="0.25">
      <c r="A207" s="30" t="s">
        <v>227</v>
      </c>
      <c r="B207" s="30" t="s">
        <v>177</v>
      </c>
      <c r="C207" s="30" t="s">
        <v>130</v>
      </c>
      <c r="D207" s="31" t="s">
        <v>228</v>
      </c>
      <c r="E207" s="30" t="s">
        <v>100</v>
      </c>
      <c r="F207" s="30" t="s">
        <v>19</v>
      </c>
      <c r="G207" s="31" t="s">
        <v>229</v>
      </c>
      <c r="H207" s="32">
        <v>0.35</v>
      </c>
      <c r="I207" s="31"/>
      <c r="J207" s="33">
        <v>46054</v>
      </c>
      <c r="K207" s="32">
        <v>0.26190000000000002</v>
      </c>
      <c r="L207" s="32">
        <v>0.74829999999999997</v>
      </c>
      <c r="M207" s="32">
        <v>0.74829999999999997</v>
      </c>
      <c r="N207" s="31" t="s">
        <v>231</v>
      </c>
      <c r="O207" s="34">
        <v>46128.788668981484</v>
      </c>
      <c r="P207" s="35" t="s">
        <v>103</v>
      </c>
      <c r="Q207" s="35" t="s">
        <v>70</v>
      </c>
      <c r="R207" s="33">
        <v>46094</v>
      </c>
      <c r="S207" s="30" t="s">
        <v>21</v>
      </c>
      <c r="T207" s="36">
        <v>206</v>
      </c>
      <c r="U207" s="30" t="s">
        <v>74</v>
      </c>
      <c r="V207" s="30" t="s">
        <v>73</v>
      </c>
    </row>
    <row r="208" spans="1:22" ht="45" x14ac:dyDescent="0.25">
      <c r="A208" s="30" t="s">
        <v>227</v>
      </c>
      <c r="B208" s="30" t="s">
        <v>177</v>
      </c>
      <c r="C208" s="30" t="s">
        <v>130</v>
      </c>
      <c r="D208" s="31" t="s">
        <v>228</v>
      </c>
      <c r="E208" s="30" t="s">
        <v>100</v>
      </c>
      <c r="F208" s="30" t="s">
        <v>19</v>
      </c>
      <c r="G208" s="31" t="s">
        <v>229</v>
      </c>
      <c r="H208" s="32">
        <v>0.35</v>
      </c>
      <c r="I208" s="31"/>
      <c r="J208" s="33">
        <v>46082</v>
      </c>
      <c r="K208" s="32">
        <v>0.25580000000000003</v>
      </c>
      <c r="L208" s="32">
        <v>0.73089999999999999</v>
      </c>
      <c r="M208" s="32">
        <v>0.73089999999999999</v>
      </c>
      <c r="N208" s="31" t="s">
        <v>232</v>
      </c>
      <c r="O208" s="34">
        <v>46128.789050925923</v>
      </c>
      <c r="P208" s="35" t="s">
        <v>103</v>
      </c>
      <c r="Q208" s="35" t="s">
        <v>70</v>
      </c>
      <c r="R208" s="33">
        <v>46122</v>
      </c>
      <c r="S208" s="30" t="s">
        <v>21</v>
      </c>
      <c r="T208" s="36">
        <v>207</v>
      </c>
      <c r="U208" s="30" t="s">
        <v>74</v>
      </c>
      <c r="V208" s="30" t="s">
        <v>73</v>
      </c>
    </row>
    <row r="209" spans="1:22" ht="45" x14ac:dyDescent="0.25">
      <c r="A209" s="30" t="s">
        <v>227</v>
      </c>
      <c r="B209" s="30" t="s">
        <v>177</v>
      </c>
      <c r="C209" s="30" t="s">
        <v>130</v>
      </c>
      <c r="D209" s="31" t="s">
        <v>228</v>
      </c>
      <c r="E209" s="30" t="s">
        <v>100</v>
      </c>
      <c r="F209" s="30" t="s">
        <v>19</v>
      </c>
      <c r="G209" s="31" t="s">
        <v>229</v>
      </c>
      <c r="H209" s="32">
        <v>0.35</v>
      </c>
      <c r="I209" s="31"/>
      <c r="J209" s="33">
        <v>46113</v>
      </c>
      <c r="K209" s="32">
        <v>0.25580000000000003</v>
      </c>
      <c r="L209" s="32">
        <v>0.73089999999999999</v>
      </c>
      <c r="M209" s="32">
        <v>0.73089999999999999</v>
      </c>
      <c r="N209" s="31" t="s">
        <v>233</v>
      </c>
      <c r="O209" s="34">
        <v>46203.687442129631</v>
      </c>
      <c r="P209" s="35" t="s">
        <v>103</v>
      </c>
      <c r="Q209" s="35" t="s">
        <v>70</v>
      </c>
      <c r="R209" s="33">
        <v>46153</v>
      </c>
      <c r="S209" s="30" t="s">
        <v>21</v>
      </c>
      <c r="T209" s="36">
        <v>208</v>
      </c>
      <c r="U209" s="30" t="s">
        <v>74</v>
      </c>
      <c r="V209" s="30" t="s">
        <v>73</v>
      </c>
    </row>
    <row r="210" spans="1:22" ht="45" x14ac:dyDescent="0.25">
      <c r="A210" s="30" t="s">
        <v>227</v>
      </c>
      <c r="B210" s="30" t="s">
        <v>177</v>
      </c>
      <c r="C210" s="30" t="s">
        <v>130</v>
      </c>
      <c r="D210" s="31" t="s">
        <v>228</v>
      </c>
      <c r="E210" s="30" t="s">
        <v>100</v>
      </c>
      <c r="F210" s="30" t="s">
        <v>19</v>
      </c>
      <c r="G210" s="31" t="s">
        <v>229</v>
      </c>
      <c r="H210" s="32">
        <v>0.35</v>
      </c>
      <c r="I210" s="31"/>
      <c r="J210" s="33">
        <v>46143</v>
      </c>
      <c r="K210" s="32">
        <v>0.26669999999999999</v>
      </c>
      <c r="L210" s="32">
        <v>0.76200000000000001</v>
      </c>
      <c r="M210" s="32">
        <v>0.76200000000000001</v>
      </c>
      <c r="N210" s="31" t="s">
        <v>234</v>
      </c>
      <c r="O210" s="34">
        <v>46203.693101851852</v>
      </c>
      <c r="P210" s="35" t="s">
        <v>103</v>
      </c>
      <c r="Q210" s="35" t="s">
        <v>70</v>
      </c>
      <c r="R210" s="33">
        <v>46183</v>
      </c>
      <c r="S210" s="30" t="s">
        <v>21</v>
      </c>
      <c r="T210" s="36">
        <v>209</v>
      </c>
      <c r="U210" s="30" t="s">
        <v>74</v>
      </c>
      <c r="V210" s="30" t="s">
        <v>73</v>
      </c>
    </row>
    <row r="211" spans="1:22" ht="45" x14ac:dyDescent="0.25">
      <c r="A211" s="30" t="s">
        <v>227</v>
      </c>
      <c r="B211" s="30" t="s">
        <v>177</v>
      </c>
      <c r="C211" s="30" t="s">
        <v>130</v>
      </c>
      <c r="D211" s="31" t="s">
        <v>228</v>
      </c>
      <c r="E211" s="30" t="s">
        <v>100</v>
      </c>
      <c r="F211" s="30" t="s">
        <v>19</v>
      </c>
      <c r="G211" s="31" t="s">
        <v>229</v>
      </c>
      <c r="H211" s="32">
        <v>0.35</v>
      </c>
      <c r="I211" s="31"/>
      <c r="J211" s="33">
        <v>46174</v>
      </c>
      <c r="K211" s="32">
        <v>0.23910000000000001</v>
      </c>
      <c r="L211" s="32">
        <v>0.68310000000000004</v>
      </c>
      <c r="M211" s="32">
        <v>0.68310000000000004</v>
      </c>
      <c r="N211" s="31" t="s">
        <v>235</v>
      </c>
      <c r="O211" s="34">
        <v>46219.806226851855</v>
      </c>
      <c r="P211" s="35" t="s">
        <v>103</v>
      </c>
      <c r="Q211" s="35" t="s">
        <v>70</v>
      </c>
      <c r="R211" s="33">
        <v>46214</v>
      </c>
      <c r="S211" s="30" t="s">
        <v>21</v>
      </c>
      <c r="T211" s="36">
        <v>210</v>
      </c>
      <c r="U211" s="30" t="s">
        <v>74</v>
      </c>
      <c r="V211" s="30" t="s">
        <v>73</v>
      </c>
    </row>
    <row r="212" spans="1:22" ht="45" x14ac:dyDescent="0.25">
      <c r="A212" s="30" t="s">
        <v>227</v>
      </c>
      <c r="B212" s="30" t="s">
        <v>177</v>
      </c>
      <c r="C212" s="30" t="s">
        <v>130</v>
      </c>
      <c r="D212" s="31" t="s">
        <v>228</v>
      </c>
      <c r="E212" s="30" t="s">
        <v>100</v>
      </c>
      <c r="F212" s="30" t="s">
        <v>19</v>
      </c>
      <c r="G212" s="31" t="s">
        <v>229</v>
      </c>
      <c r="H212" s="32">
        <v>0.35</v>
      </c>
      <c r="I212" s="31"/>
      <c r="J212" s="33">
        <v>46204</v>
      </c>
      <c r="K212" s="32">
        <v>0.26090000000000002</v>
      </c>
      <c r="L212" s="32">
        <v>0.745428571428572</v>
      </c>
      <c r="M212" s="32">
        <v>0.745428571428572</v>
      </c>
      <c r="N212" s="31" t="s">
        <v>236</v>
      </c>
      <c r="O212" s="34">
        <v>46237.712881944448</v>
      </c>
      <c r="P212" s="35" t="s">
        <v>226</v>
      </c>
      <c r="Q212" s="35" t="s">
        <v>79</v>
      </c>
      <c r="R212" s="33">
        <v>46244</v>
      </c>
      <c r="S212" s="30" t="s">
        <v>21</v>
      </c>
      <c r="T212" s="36">
        <v>211</v>
      </c>
      <c r="U212" s="30" t="s">
        <v>74</v>
      </c>
      <c r="V212" s="30" t="s">
        <v>73</v>
      </c>
    </row>
    <row r="213" spans="1:22" ht="45" x14ac:dyDescent="0.25">
      <c r="A213" s="30" t="s">
        <v>227</v>
      </c>
      <c r="B213" s="30" t="s">
        <v>177</v>
      </c>
      <c r="C213" s="30" t="s">
        <v>130</v>
      </c>
      <c r="D213" s="31" t="s">
        <v>228</v>
      </c>
      <c r="E213" s="30" t="s">
        <v>100</v>
      </c>
      <c r="F213" s="30" t="s">
        <v>19</v>
      </c>
      <c r="G213" s="31" t="s">
        <v>229</v>
      </c>
      <c r="H213" s="32">
        <v>0.35</v>
      </c>
      <c r="I213" s="31"/>
      <c r="J213" s="33">
        <v>46235</v>
      </c>
      <c r="K213" s="32">
        <v>0</v>
      </c>
      <c r="L213" s="32"/>
      <c r="M213" s="32">
        <v>0</v>
      </c>
      <c r="N213" s="31"/>
      <c r="O213" s="34">
        <v>46100.749849537038</v>
      </c>
      <c r="P213" s="35" t="s">
        <v>72</v>
      </c>
      <c r="Q213" s="35" t="s">
        <v>79</v>
      </c>
      <c r="R213" s="33">
        <v>46275</v>
      </c>
      <c r="S213" s="30" t="s">
        <v>21</v>
      </c>
      <c r="T213" s="36">
        <v>212</v>
      </c>
      <c r="U213" s="30" t="s">
        <v>74</v>
      </c>
      <c r="V213" s="30" t="s">
        <v>73</v>
      </c>
    </row>
    <row r="214" spans="1:22" ht="45" x14ac:dyDescent="0.25">
      <c r="A214" s="30" t="s">
        <v>227</v>
      </c>
      <c r="B214" s="30" t="s">
        <v>177</v>
      </c>
      <c r="C214" s="30" t="s">
        <v>130</v>
      </c>
      <c r="D214" s="31" t="s">
        <v>228</v>
      </c>
      <c r="E214" s="30" t="s">
        <v>100</v>
      </c>
      <c r="F214" s="30" t="s">
        <v>19</v>
      </c>
      <c r="G214" s="31" t="s">
        <v>229</v>
      </c>
      <c r="H214" s="32">
        <v>0.35</v>
      </c>
      <c r="I214" s="31"/>
      <c r="J214" s="33">
        <v>46266</v>
      </c>
      <c r="K214" s="32">
        <v>0</v>
      </c>
      <c r="L214" s="32"/>
      <c r="M214" s="32">
        <v>0</v>
      </c>
      <c r="N214" s="31"/>
      <c r="O214" s="34">
        <v>46100.749849537038</v>
      </c>
      <c r="P214" s="35" t="s">
        <v>72</v>
      </c>
      <c r="Q214" s="35" t="s">
        <v>79</v>
      </c>
      <c r="R214" s="33">
        <v>46306</v>
      </c>
      <c r="S214" s="30" t="s">
        <v>21</v>
      </c>
      <c r="T214" s="36">
        <v>213</v>
      </c>
      <c r="U214" s="30" t="s">
        <v>74</v>
      </c>
      <c r="V214" s="30" t="s">
        <v>73</v>
      </c>
    </row>
    <row r="215" spans="1:22" ht="45" x14ac:dyDescent="0.25">
      <c r="A215" s="30" t="s">
        <v>227</v>
      </c>
      <c r="B215" s="30" t="s">
        <v>177</v>
      </c>
      <c r="C215" s="30" t="s">
        <v>130</v>
      </c>
      <c r="D215" s="31" t="s">
        <v>228</v>
      </c>
      <c r="E215" s="30" t="s">
        <v>100</v>
      </c>
      <c r="F215" s="30" t="s">
        <v>19</v>
      </c>
      <c r="G215" s="31" t="s">
        <v>229</v>
      </c>
      <c r="H215" s="32">
        <v>0.35</v>
      </c>
      <c r="I215" s="31"/>
      <c r="J215" s="33">
        <v>46296</v>
      </c>
      <c r="K215" s="32">
        <v>0</v>
      </c>
      <c r="L215" s="32"/>
      <c r="M215" s="32">
        <v>0</v>
      </c>
      <c r="N215" s="31"/>
      <c r="O215" s="34">
        <v>46100.749849537038</v>
      </c>
      <c r="P215" s="35" t="s">
        <v>72</v>
      </c>
      <c r="Q215" s="35" t="s">
        <v>79</v>
      </c>
      <c r="R215" s="33">
        <v>46336</v>
      </c>
      <c r="S215" s="30" t="s">
        <v>21</v>
      </c>
      <c r="T215" s="36">
        <v>214</v>
      </c>
      <c r="U215" s="30" t="s">
        <v>74</v>
      </c>
      <c r="V215" s="30" t="s">
        <v>73</v>
      </c>
    </row>
    <row r="216" spans="1:22" ht="45" x14ac:dyDescent="0.25">
      <c r="A216" s="30" t="s">
        <v>227</v>
      </c>
      <c r="B216" s="30" t="s">
        <v>177</v>
      </c>
      <c r="C216" s="30" t="s">
        <v>130</v>
      </c>
      <c r="D216" s="31" t="s">
        <v>228</v>
      </c>
      <c r="E216" s="30" t="s">
        <v>100</v>
      </c>
      <c r="F216" s="30" t="s">
        <v>19</v>
      </c>
      <c r="G216" s="31" t="s">
        <v>229</v>
      </c>
      <c r="H216" s="32">
        <v>0.35</v>
      </c>
      <c r="I216" s="31"/>
      <c r="J216" s="33">
        <v>46327</v>
      </c>
      <c r="K216" s="32">
        <v>0</v>
      </c>
      <c r="L216" s="32"/>
      <c r="M216" s="32">
        <v>0</v>
      </c>
      <c r="N216" s="31"/>
      <c r="O216" s="34">
        <v>46100.749861111108</v>
      </c>
      <c r="P216" s="35" t="s">
        <v>72</v>
      </c>
      <c r="Q216" s="35" t="s">
        <v>79</v>
      </c>
      <c r="R216" s="33">
        <v>46367</v>
      </c>
      <c r="S216" s="30" t="s">
        <v>21</v>
      </c>
      <c r="T216" s="36">
        <v>215</v>
      </c>
      <c r="U216" s="30" t="s">
        <v>74</v>
      </c>
      <c r="V216" s="30" t="s">
        <v>73</v>
      </c>
    </row>
    <row r="217" spans="1:22" ht="45" x14ac:dyDescent="0.25">
      <c r="A217" s="30" t="s">
        <v>227</v>
      </c>
      <c r="B217" s="30" t="s">
        <v>177</v>
      </c>
      <c r="C217" s="30" t="s">
        <v>130</v>
      </c>
      <c r="D217" s="31" t="s">
        <v>228</v>
      </c>
      <c r="E217" s="30" t="s">
        <v>100</v>
      </c>
      <c r="F217" s="30" t="s">
        <v>19</v>
      </c>
      <c r="G217" s="31" t="s">
        <v>229</v>
      </c>
      <c r="H217" s="32">
        <v>0.35</v>
      </c>
      <c r="I217" s="31"/>
      <c r="J217" s="33">
        <v>46357</v>
      </c>
      <c r="K217" s="32">
        <v>0</v>
      </c>
      <c r="L217" s="32"/>
      <c r="M217" s="32">
        <v>0</v>
      </c>
      <c r="N217" s="31"/>
      <c r="O217" s="34">
        <v>46100.749861111108</v>
      </c>
      <c r="P217" s="35" t="s">
        <v>72</v>
      </c>
      <c r="Q217" s="35" t="s">
        <v>79</v>
      </c>
      <c r="R217" s="33">
        <v>46397</v>
      </c>
      <c r="S217" s="30" t="s">
        <v>21</v>
      </c>
      <c r="T217" s="36">
        <v>216</v>
      </c>
      <c r="U217" s="30" t="s">
        <v>74</v>
      </c>
      <c r="V217" s="30" t="s">
        <v>73</v>
      </c>
    </row>
    <row r="218" spans="1:22" ht="105" x14ac:dyDescent="0.25">
      <c r="A218" s="30" t="s">
        <v>237</v>
      </c>
      <c r="B218" s="30" t="s">
        <v>177</v>
      </c>
      <c r="C218" s="30" t="s">
        <v>130</v>
      </c>
      <c r="D218" s="31" t="s">
        <v>237</v>
      </c>
      <c r="E218" s="30" t="s">
        <v>132</v>
      </c>
      <c r="F218" s="30" t="s">
        <v>15</v>
      </c>
      <c r="G218" s="31" t="s">
        <v>238</v>
      </c>
      <c r="H218" s="32">
        <v>0.9</v>
      </c>
      <c r="I218" s="31"/>
      <c r="J218" s="33">
        <v>46023</v>
      </c>
      <c r="K218" s="32">
        <v>0</v>
      </c>
      <c r="L218" s="32">
        <v>0</v>
      </c>
      <c r="M218" s="32">
        <v>0</v>
      </c>
      <c r="N218" s="31" t="s">
        <v>239</v>
      </c>
      <c r="O218" s="34">
        <v>46219.7184837963</v>
      </c>
      <c r="P218" s="35" t="s">
        <v>109</v>
      </c>
      <c r="Q218" s="35" t="s">
        <v>70</v>
      </c>
      <c r="R218" s="33">
        <v>46063</v>
      </c>
      <c r="S218" s="30" t="s">
        <v>21</v>
      </c>
      <c r="T218" s="36">
        <v>217</v>
      </c>
      <c r="U218" s="30" t="s">
        <v>74</v>
      </c>
      <c r="V218" s="30" t="s">
        <v>73</v>
      </c>
    </row>
    <row r="219" spans="1:22" ht="120" x14ac:dyDescent="0.25">
      <c r="A219" s="30" t="s">
        <v>237</v>
      </c>
      <c r="B219" s="30" t="s">
        <v>177</v>
      </c>
      <c r="C219" s="30" t="s">
        <v>130</v>
      </c>
      <c r="D219" s="31" t="s">
        <v>237</v>
      </c>
      <c r="E219" s="30" t="s">
        <v>132</v>
      </c>
      <c r="F219" s="30" t="s">
        <v>15</v>
      </c>
      <c r="G219" s="31" t="s">
        <v>238</v>
      </c>
      <c r="H219" s="32">
        <v>0.9</v>
      </c>
      <c r="I219" s="31"/>
      <c r="J219" s="33">
        <v>46054</v>
      </c>
      <c r="K219" s="32">
        <v>0</v>
      </c>
      <c r="L219" s="32">
        <v>0</v>
      </c>
      <c r="M219" s="32">
        <v>0</v>
      </c>
      <c r="N219" s="31" t="s">
        <v>240</v>
      </c>
      <c r="O219" s="34">
        <v>46219.7187037037</v>
      </c>
      <c r="P219" s="35" t="s">
        <v>109</v>
      </c>
      <c r="Q219" s="35" t="s">
        <v>70</v>
      </c>
      <c r="R219" s="33">
        <v>46094</v>
      </c>
      <c r="S219" s="30" t="s">
        <v>21</v>
      </c>
      <c r="T219" s="36">
        <v>218</v>
      </c>
      <c r="U219" s="30" t="s">
        <v>74</v>
      </c>
      <c r="V219" s="30" t="s">
        <v>73</v>
      </c>
    </row>
    <row r="220" spans="1:22" ht="75" x14ac:dyDescent="0.25">
      <c r="A220" s="30" t="s">
        <v>237</v>
      </c>
      <c r="B220" s="30" t="s">
        <v>177</v>
      </c>
      <c r="C220" s="30" t="s">
        <v>130</v>
      </c>
      <c r="D220" s="31" t="s">
        <v>237</v>
      </c>
      <c r="E220" s="30" t="s">
        <v>132</v>
      </c>
      <c r="F220" s="30" t="s">
        <v>15</v>
      </c>
      <c r="G220" s="31" t="s">
        <v>238</v>
      </c>
      <c r="H220" s="32">
        <v>0.9</v>
      </c>
      <c r="I220" s="31"/>
      <c r="J220" s="33">
        <v>46082</v>
      </c>
      <c r="K220" s="32">
        <v>0</v>
      </c>
      <c r="L220" s="32">
        <v>0</v>
      </c>
      <c r="M220" s="32">
        <v>0</v>
      </c>
      <c r="N220" s="31" t="s">
        <v>241</v>
      </c>
      <c r="O220" s="34">
        <v>46204.677395833336</v>
      </c>
      <c r="P220" s="35" t="s">
        <v>109</v>
      </c>
      <c r="Q220" s="35" t="s">
        <v>70</v>
      </c>
      <c r="R220" s="33">
        <v>46122</v>
      </c>
      <c r="S220" s="30" t="s">
        <v>21</v>
      </c>
      <c r="T220" s="36">
        <v>219</v>
      </c>
      <c r="U220" s="30" t="s">
        <v>74</v>
      </c>
      <c r="V220" s="30" t="s">
        <v>73</v>
      </c>
    </row>
    <row r="221" spans="1:22" ht="75" x14ac:dyDescent="0.25">
      <c r="A221" s="30" t="s">
        <v>237</v>
      </c>
      <c r="B221" s="30" t="s">
        <v>177</v>
      </c>
      <c r="C221" s="30" t="s">
        <v>130</v>
      </c>
      <c r="D221" s="31" t="s">
        <v>237</v>
      </c>
      <c r="E221" s="30" t="s">
        <v>132</v>
      </c>
      <c r="F221" s="30" t="s">
        <v>15</v>
      </c>
      <c r="G221" s="31" t="s">
        <v>238</v>
      </c>
      <c r="H221" s="32">
        <v>0.9</v>
      </c>
      <c r="I221" s="31"/>
      <c r="J221" s="33">
        <v>46113</v>
      </c>
      <c r="K221" s="32">
        <v>0</v>
      </c>
      <c r="L221" s="32">
        <v>0</v>
      </c>
      <c r="M221" s="32">
        <v>0</v>
      </c>
      <c r="N221" s="31" t="s">
        <v>242</v>
      </c>
      <c r="O221" s="34">
        <v>46219.718935185185</v>
      </c>
      <c r="P221" s="35" t="s">
        <v>109</v>
      </c>
      <c r="Q221" s="35" t="s">
        <v>79</v>
      </c>
      <c r="R221" s="33">
        <v>46153</v>
      </c>
      <c r="S221" s="30" t="s">
        <v>21</v>
      </c>
      <c r="T221" s="36">
        <v>220</v>
      </c>
      <c r="U221" s="30" t="s">
        <v>74</v>
      </c>
      <c r="V221" s="30" t="s">
        <v>73</v>
      </c>
    </row>
    <row r="222" spans="1:22" ht="90" x14ac:dyDescent="0.25">
      <c r="A222" s="30" t="s">
        <v>237</v>
      </c>
      <c r="B222" s="30" t="s">
        <v>177</v>
      </c>
      <c r="C222" s="30" t="s">
        <v>130</v>
      </c>
      <c r="D222" s="31" t="s">
        <v>237</v>
      </c>
      <c r="E222" s="30" t="s">
        <v>132</v>
      </c>
      <c r="F222" s="30" t="s">
        <v>15</v>
      </c>
      <c r="G222" s="31" t="s">
        <v>238</v>
      </c>
      <c r="H222" s="32">
        <v>0.9</v>
      </c>
      <c r="I222" s="31"/>
      <c r="J222" s="33">
        <v>46143</v>
      </c>
      <c r="K222" s="32">
        <v>0</v>
      </c>
      <c r="L222" s="32">
        <v>0</v>
      </c>
      <c r="M222" s="32">
        <v>0</v>
      </c>
      <c r="N222" s="31" t="s">
        <v>243</v>
      </c>
      <c r="O222" s="34">
        <v>46219.7190625</v>
      </c>
      <c r="P222" s="35" t="s">
        <v>109</v>
      </c>
      <c r="Q222" s="35" t="s">
        <v>79</v>
      </c>
      <c r="R222" s="33">
        <v>46183</v>
      </c>
      <c r="S222" s="30" t="s">
        <v>21</v>
      </c>
      <c r="T222" s="36">
        <v>221</v>
      </c>
      <c r="U222" s="30" t="s">
        <v>74</v>
      </c>
      <c r="V222" s="30" t="s">
        <v>73</v>
      </c>
    </row>
    <row r="223" spans="1:22" ht="45" x14ac:dyDescent="0.25">
      <c r="A223" s="30" t="s">
        <v>237</v>
      </c>
      <c r="B223" s="30" t="s">
        <v>177</v>
      </c>
      <c r="C223" s="30" t="s">
        <v>130</v>
      </c>
      <c r="D223" s="31" t="s">
        <v>237</v>
      </c>
      <c r="E223" s="30" t="s">
        <v>132</v>
      </c>
      <c r="F223" s="30" t="s">
        <v>15</v>
      </c>
      <c r="G223" s="31" t="s">
        <v>238</v>
      </c>
      <c r="H223" s="32">
        <v>0.9</v>
      </c>
      <c r="I223" s="31"/>
      <c r="J223" s="33">
        <v>46174</v>
      </c>
      <c r="K223" s="32">
        <v>0.96</v>
      </c>
      <c r="L223" s="32">
        <v>1.06</v>
      </c>
      <c r="M223" s="32">
        <v>1</v>
      </c>
      <c r="N223" s="31" t="s">
        <v>244</v>
      </c>
      <c r="O223" s="34">
        <v>46220.4608912037</v>
      </c>
      <c r="P223" s="35" t="s">
        <v>135</v>
      </c>
      <c r="Q223" s="35" t="s">
        <v>70</v>
      </c>
      <c r="R223" s="33">
        <v>46214</v>
      </c>
      <c r="S223" s="30" t="s">
        <v>21</v>
      </c>
      <c r="T223" s="36">
        <v>222</v>
      </c>
      <c r="U223" s="30" t="s">
        <v>74</v>
      </c>
      <c r="V223" s="30" t="s">
        <v>73</v>
      </c>
    </row>
    <row r="224" spans="1:22" ht="45" x14ac:dyDescent="0.25">
      <c r="A224" s="30" t="s">
        <v>237</v>
      </c>
      <c r="B224" s="30" t="s">
        <v>177</v>
      </c>
      <c r="C224" s="30" t="s">
        <v>130</v>
      </c>
      <c r="D224" s="31" t="s">
        <v>237</v>
      </c>
      <c r="E224" s="30" t="s">
        <v>132</v>
      </c>
      <c r="F224" s="30" t="s">
        <v>15</v>
      </c>
      <c r="G224" s="31" t="s">
        <v>238</v>
      </c>
      <c r="H224" s="32">
        <v>0.9</v>
      </c>
      <c r="I224" s="31"/>
      <c r="J224" s="33">
        <v>46204</v>
      </c>
      <c r="K224" s="32">
        <v>0</v>
      </c>
      <c r="L224" s="32"/>
      <c r="M224" s="32">
        <v>0</v>
      </c>
      <c r="N224" s="31"/>
      <c r="O224" s="34">
        <v>46219.71947916667</v>
      </c>
      <c r="P224" s="35" t="s">
        <v>109</v>
      </c>
      <c r="Q224" s="35" t="s">
        <v>79</v>
      </c>
      <c r="R224" s="33">
        <v>46244</v>
      </c>
      <c r="S224" s="30" t="s">
        <v>21</v>
      </c>
      <c r="T224" s="36">
        <v>223</v>
      </c>
      <c r="U224" s="30" t="s">
        <v>74</v>
      </c>
      <c r="V224" s="30" t="s">
        <v>73</v>
      </c>
    </row>
    <row r="225" spans="1:22" ht="45" x14ac:dyDescent="0.25">
      <c r="A225" s="30" t="s">
        <v>237</v>
      </c>
      <c r="B225" s="30" t="s">
        <v>177</v>
      </c>
      <c r="C225" s="30" t="s">
        <v>130</v>
      </c>
      <c r="D225" s="31" t="s">
        <v>237</v>
      </c>
      <c r="E225" s="30" t="s">
        <v>132</v>
      </c>
      <c r="F225" s="30" t="s">
        <v>15</v>
      </c>
      <c r="G225" s="31" t="s">
        <v>238</v>
      </c>
      <c r="H225" s="32">
        <v>0.9</v>
      </c>
      <c r="I225" s="31"/>
      <c r="J225" s="33">
        <v>46235</v>
      </c>
      <c r="K225" s="32">
        <v>0</v>
      </c>
      <c r="L225" s="32"/>
      <c r="M225" s="32">
        <v>0</v>
      </c>
      <c r="N225" s="31"/>
      <c r="O225" s="34">
        <v>46219.719664351855</v>
      </c>
      <c r="P225" s="35" t="s">
        <v>109</v>
      </c>
      <c r="Q225" s="35" t="s">
        <v>79</v>
      </c>
      <c r="R225" s="33">
        <v>46275</v>
      </c>
      <c r="S225" s="30" t="s">
        <v>21</v>
      </c>
      <c r="T225" s="36">
        <v>224</v>
      </c>
      <c r="U225" s="30" t="s">
        <v>74</v>
      </c>
      <c r="V225" s="30" t="s">
        <v>73</v>
      </c>
    </row>
    <row r="226" spans="1:22" ht="45" x14ac:dyDescent="0.25">
      <c r="A226" s="30" t="s">
        <v>237</v>
      </c>
      <c r="B226" s="30" t="s">
        <v>177</v>
      </c>
      <c r="C226" s="30" t="s">
        <v>130</v>
      </c>
      <c r="D226" s="31" t="s">
        <v>237</v>
      </c>
      <c r="E226" s="30" t="s">
        <v>132</v>
      </c>
      <c r="F226" s="30" t="s">
        <v>15</v>
      </c>
      <c r="G226" s="31" t="s">
        <v>238</v>
      </c>
      <c r="H226" s="32">
        <v>0.9</v>
      </c>
      <c r="I226" s="31"/>
      <c r="J226" s="33">
        <v>46266</v>
      </c>
      <c r="K226" s="32">
        <v>0</v>
      </c>
      <c r="L226" s="32"/>
      <c r="M226" s="32">
        <v>0</v>
      </c>
      <c r="N226" s="31"/>
      <c r="O226" s="34">
        <v>46219.719756944447</v>
      </c>
      <c r="P226" s="35" t="s">
        <v>109</v>
      </c>
      <c r="Q226" s="35" t="s">
        <v>79</v>
      </c>
      <c r="R226" s="33">
        <v>46306</v>
      </c>
      <c r="S226" s="30" t="s">
        <v>21</v>
      </c>
      <c r="T226" s="36">
        <v>225</v>
      </c>
      <c r="U226" s="30" t="s">
        <v>74</v>
      </c>
      <c r="V226" s="30" t="s">
        <v>73</v>
      </c>
    </row>
    <row r="227" spans="1:22" ht="45" x14ac:dyDescent="0.25">
      <c r="A227" s="30" t="s">
        <v>237</v>
      </c>
      <c r="B227" s="30" t="s">
        <v>177</v>
      </c>
      <c r="C227" s="30" t="s">
        <v>130</v>
      </c>
      <c r="D227" s="31" t="s">
        <v>237</v>
      </c>
      <c r="E227" s="30" t="s">
        <v>132</v>
      </c>
      <c r="F227" s="30" t="s">
        <v>15</v>
      </c>
      <c r="G227" s="31" t="s">
        <v>238</v>
      </c>
      <c r="H227" s="32">
        <v>0.9</v>
      </c>
      <c r="I227" s="31"/>
      <c r="J227" s="33">
        <v>46296</v>
      </c>
      <c r="K227" s="32">
        <v>0</v>
      </c>
      <c r="L227" s="32"/>
      <c r="M227" s="32">
        <v>0</v>
      </c>
      <c r="N227" s="31"/>
      <c r="O227" s="34">
        <v>46219.719895833332</v>
      </c>
      <c r="P227" s="35" t="s">
        <v>109</v>
      </c>
      <c r="Q227" s="35" t="s">
        <v>79</v>
      </c>
      <c r="R227" s="33">
        <v>46336</v>
      </c>
      <c r="S227" s="30" t="s">
        <v>21</v>
      </c>
      <c r="T227" s="36">
        <v>226</v>
      </c>
      <c r="U227" s="30" t="s">
        <v>74</v>
      </c>
      <c r="V227" s="30" t="s">
        <v>73</v>
      </c>
    </row>
    <row r="228" spans="1:22" ht="45" x14ac:dyDescent="0.25">
      <c r="A228" s="30" t="s">
        <v>237</v>
      </c>
      <c r="B228" s="30" t="s">
        <v>177</v>
      </c>
      <c r="C228" s="30" t="s">
        <v>130</v>
      </c>
      <c r="D228" s="31" t="s">
        <v>237</v>
      </c>
      <c r="E228" s="30" t="s">
        <v>132</v>
      </c>
      <c r="F228" s="30" t="s">
        <v>15</v>
      </c>
      <c r="G228" s="31" t="s">
        <v>238</v>
      </c>
      <c r="H228" s="32">
        <v>0.9</v>
      </c>
      <c r="I228" s="31"/>
      <c r="J228" s="33">
        <v>46327</v>
      </c>
      <c r="K228" s="32">
        <v>0</v>
      </c>
      <c r="L228" s="32"/>
      <c r="M228" s="32">
        <v>0</v>
      </c>
      <c r="N228" s="31"/>
      <c r="O228" s="34">
        <v>46219.72</v>
      </c>
      <c r="P228" s="35" t="s">
        <v>109</v>
      </c>
      <c r="Q228" s="35" t="s">
        <v>79</v>
      </c>
      <c r="R228" s="33">
        <v>46367</v>
      </c>
      <c r="S228" s="30" t="s">
        <v>21</v>
      </c>
      <c r="T228" s="36">
        <v>227</v>
      </c>
      <c r="U228" s="30" t="s">
        <v>74</v>
      </c>
      <c r="V228" s="30" t="s">
        <v>73</v>
      </c>
    </row>
    <row r="229" spans="1:22" ht="45" x14ac:dyDescent="0.25">
      <c r="A229" s="30" t="s">
        <v>237</v>
      </c>
      <c r="B229" s="30" t="s">
        <v>177</v>
      </c>
      <c r="C229" s="30" t="s">
        <v>130</v>
      </c>
      <c r="D229" s="31" t="s">
        <v>237</v>
      </c>
      <c r="E229" s="30" t="s">
        <v>132</v>
      </c>
      <c r="F229" s="30" t="s">
        <v>15</v>
      </c>
      <c r="G229" s="31" t="s">
        <v>238</v>
      </c>
      <c r="H229" s="32">
        <v>0.9</v>
      </c>
      <c r="I229" s="31"/>
      <c r="J229" s="33">
        <v>46357</v>
      </c>
      <c r="K229" s="32">
        <v>0</v>
      </c>
      <c r="L229" s="32"/>
      <c r="M229" s="32">
        <v>0</v>
      </c>
      <c r="N229" s="31"/>
      <c r="O229" s="34">
        <v>46100.749872685185</v>
      </c>
      <c r="P229" s="35" t="s">
        <v>72</v>
      </c>
      <c r="Q229" s="35" t="s">
        <v>79</v>
      </c>
      <c r="R229" s="33">
        <v>46397</v>
      </c>
      <c r="S229" s="30" t="s">
        <v>21</v>
      </c>
      <c r="T229" s="36">
        <v>228</v>
      </c>
      <c r="U229" s="30" t="s">
        <v>74</v>
      </c>
      <c r="V229" s="30" t="s">
        <v>73</v>
      </c>
    </row>
    <row r="230" spans="1:22" ht="45" x14ac:dyDescent="0.25">
      <c r="A230" s="30" t="s">
        <v>245</v>
      </c>
      <c r="B230" s="30" t="s">
        <v>177</v>
      </c>
      <c r="C230" s="30" t="s">
        <v>143</v>
      </c>
      <c r="D230" s="31" t="s">
        <v>246</v>
      </c>
      <c r="E230" s="30" t="s">
        <v>145</v>
      </c>
      <c r="F230" s="30" t="s">
        <v>18</v>
      </c>
      <c r="G230" s="31" t="s">
        <v>247</v>
      </c>
      <c r="H230" s="32">
        <v>0</v>
      </c>
      <c r="I230" s="31"/>
      <c r="J230" s="33">
        <v>46023</v>
      </c>
      <c r="K230" s="32">
        <v>0</v>
      </c>
      <c r="L230" s="32">
        <v>0</v>
      </c>
      <c r="M230" s="32">
        <v>0</v>
      </c>
      <c r="N230" s="31" t="s">
        <v>248</v>
      </c>
      <c r="O230" s="34">
        <v>46129.698055555556</v>
      </c>
      <c r="P230" s="35" t="s">
        <v>87</v>
      </c>
      <c r="Q230" s="35" t="s">
        <v>70</v>
      </c>
      <c r="R230" s="33">
        <v>46063</v>
      </c>
      <c r="S230" s="30" t="s">
        <v>21</v>
      </c>
      <c r="T230" s="36">
        <v>229</v>
      </c>
      <c r="U230" s="30" t="s">
        <v>74</v>
      </c>
      <c r="V230" s="30" t="s">
        <v>73</v>
      </c>
    </row>
    <row r="231" spans="1:22" ht="45" x14ac:dyDescent="0.25">
      <c r="A231" s="30" t="s">
        <v>245</v>
      </c>
      <c r="B231" s="30" t="s">
        <v>177</v>
      </c>
      <c r="C231" s="30" t="s">
        <v>143</v>
      </c>
      <c r="D231" s="31" t="s">
        <v>246</v>
      </c>
      <c r="E231" s="30" t="s">
        <v>145</v>
      </c>
      <c r="F231" s="30" t="s">
        <v>18</v>
      </c>
      <c r="G231" s="31" t="s">
        <v>247</v>
      </c>
      <c r="H231" s="32">
        <v>0</v>
      </c>
      <c r="I231" s="31"/>
      <c r="J231" s="33">
        <v>46054</v>
      </c>
      <c r="K231" s="32">
        <v>0</v>
      </c>
      <c r="L231" s="32">
        <v>0</v>
      </c>
      <c r="M231" s="32">
        <v>0</v>
      </c>
      <c r="N231" s="31" t="s">
        <v>248</v>
      </c>
      <c r="O231" s="34">
        <v>46129.698182870372</v>
      </c>
      <c r="P231" s="35" t="s">
        <v>87</v>
      </c>
      <c r="Q231" s="35" t="s">
        <v>70</v>
      </c>
      <c r="R231" s="33">
        <v>46094</v>
      </c>
      <c r="S231" s="30" t="s">
        <v>21</v>
      </c>
      <c r="T231" s="36">
        <v>230</v>
      </c>
      <c r="U231" s="30" t="s">
        <v>74</v>
      </c>
      <c r="V231" s="30" t="s">
        <v>73</v>
      </c>
    </row>
    <row r="232" spans="1:22" ht="45" x14ac:dyDescent="0.25">
      <c r="A232" s="30" t="s">
        <v>245</v>
      </c>
      <c r="B232" s="30" t="s">
        <v>177</v>
      </c>
      <c r="C232" s="30" t="s">
        <v>143</v>
      </c>
      <c r="D232" s="31" t="s">
        <v>246</v>
      </c>
      <c r="E232" s="30" t="s">
        <v>145</v>
      </c>
      <c r="F232" s="30" t="s">
        <v>18</v>
      </c>
      <c r="G232" s="31" t="s">
        <v>247</v>
      </c>
      <c r="H232" s="32">
        <v>0</v>
      </c>
      <c r="I232" s="31"/>
      <c r="J232" s="33">
        <v>46082</v>
      </c>
      <c r="K232" s="32">
        <v>0</v>
      </c>
      <c r="L232" s="32">
        <v>0</v>
      </c>
      <c r="M232" s="32">
        <v>0</v>
      </c>
      <c r="N232" s="31" t="s">
        <v>248</v>
      </c>
      <c r="O232" s="34">
        <v>46129.698287037034</v>
      </c>
      <c r="P232" s="35" t="s">
        <v>87</v>
      </c>
      <c r="Q232" s="35" t="s">
        <v>70</v>
      </c>
      <c r="R232" s="33">
        <v>46122</v>
      </c>
      <c r="S232" s="30" t="s">
        <v>21</v>
      </c>
      <c r="T232" s="36">
        <v>231</v>
      </c>
      <c r="U232" s="30" t="s">
        <v>74</v>
      </c>
      <c r="V232" s="30" t="s">
        <v>73</v>
      </c>
    </row>
    <row r="233" spans="1:22" ht="75" x14ac:dyDescent="0.25">
      <c r="A233" s="30" t="s">
        <v>245</v>
      </c>
      <c r="B233" s="30" t="s">
        <v>177</v>
      </c>
      <c r="C233" s="30" t="s">
        <v>143</v>
      </c>
      <c r="D233" s="31" t="s">
        <v>246</v>
      </c>
      <c r="E233" s="30" t="s">
        <v>145</v>
      </c>
      <c r="F233" s="30" t="s">
        <v>18</v>
      </c>
      <c r="G233" s="31" t="s">
        <v>247</v>
      </c>
      <c r="H233" s="32">
        <v>0</v>
      </c>
      <c r="I233" s="31"/>
      <c r="J233" s="33">
        <v>46113</v>
      </c>
      <c r="K233" s="32">
        <v>0</v>
      </c>
      <c r="L233" s="32">
        <v>0</v>
      </c>
      <c r="M233" s="32">
        <v>0</v>
      </c>
      <c r="N233" s="31" t="s">
        <v>147</v>
      </c>
      <c r="O233" s="34">
        <v>46220.746168981481</v>
      </c>
      <c r="P233" s="35" t="s">
        <v>76</v>
      </c>
      <c r="Q233" s="35" t="s">
        <v>79</v>
      </c>
      <c r="R233" s="33">
        <v>46153</v>
      </c>
      <c r="S233" s="30" t="s">
        <v>21</v>
      </c>
      <c r="T233" s="36">
        <v>232</v>
      </c>
      <c r="U233" s="30" t="s">
        <v>74</v>
      </c>
      <c r="V233" s="30" t="s">
        <v>73</v>
      </c>
    </row>
    <row r="234" spans="1:22" ht="75" x14ac:dyDescent="0.25">
      <c r="A234" s="30" t="s">
        <v>245</v>
      </c>
      <c r="B234" s="30" t="s">
        <v>177</v>
      </c>
      <c r="C234" s="30" t="s">
        <v>143</v>
      </c>
      <c r="D234" s="31" t="s">
        <v>246</v>
      </c>
      <c r="E234" s="30" t="s">
        <v>145</v>
      </c>
      <c r="F234" s="30" t="s">
        <v>18</v>
      </c>
      <c r="G234" s="31" t="s">
        <v>247</v>
      </c>
      <c r="H234" s="32">
        <v>0</v>
      </c>
      <c r="I234" s="31"/>
      <c r="J234" s="33">
        <v>46143</v>
      </c>
      <c r="K234" s="32">
        <v>0</v>
      </c>
      <c r="L234" s="32">
        <v>0</v>
      </c>
      <c r="M234" s="32">
        <v>0</v>
      </c>
      <c r="N234" s="31" t="s">
        <v>147</v>
      </c>
      <c r="O234" s="34">
        <v>46220.746481481481</v>
      </c>
      <c r="P234" s="35" t="s">
        <v>76</v>
      </c>
      <c r="Q234" s="35" t="s">
        <v>79</v>
      </c>
      <c r="R234" s="33">
        <v>46183</v>
      </c>
      <c r="S234" s="30" t="s">
        <v>21</v>
      </c>
      <c r="T234" s="36">
        <v>233</v>
      </c>
      <c r="U234" s="30" t="s">
        <v>74</v>
      </c>
      <c r="V234" s="30" t="s">
        <v>73</v>
      </c>
    </row>
    <row r="235" spans="1:22" ht="75" x14ac:dyDescent="0.25">
      <c r="A235" s="30" t="s">
        <v>245</v>
      </c>
      <c r="B235" s="30" t="s">
        <v>177</v>
      </c>
      <c r="C235" s="30" t="s">
        <v>143</v>
      </c>
      <c r="D235" s="31" t="s">
        <v>246</v>
      </c>
      <c r="E235" s="30" t="s">
        <v>145</v>
      </c>
      <c r="F235" s="30" t="s">
        <v>18</v>
      </c>
      <c r="G235" s="31" t="s">
        <v>247</v>
      </c>
      <c r="H235" s="32">
        <v>0</v>
      </c>
      <c r="I235" s="31"/>
      <c r="J235" s="33">
        <v>46174</v>
      </c>
      <c r="K235" s="32">
        <v>0</v>
      </c>
      <c r="L235" s="32">
        <v>0</v>
      </c>
      <c r="M235" s="32">
        <v>0</v>
      </c>
      <c r="N235" s="31" t="s">
        <v>147</v>
      </c>
      <c r="O235" s="34">
        <v>46220.746666666666</v>
      </c>
      <c r="P235" s="35" t="s">
        <v>76</v>
      </c>
      <c r="Q235" s="35" t="s">
        <v>79</v>
      </c>
      <c r="R235" s="33">
        <v>46214</v>
      </c>
      <c r="S235" s="30" t="s">
        <v>21</v>
      </c>
      <c r="T235" s="36">
        <v>234</v>
      </c>
      <c r="U235" s="30" t="s">
        <v>74</v>
      </c>
      <c r="V235" s="30" t="s">
        <v>73</v>
      </c>
    </row>
    <row r="236" spans="1:22" ht="30" x14ac:dyDescent="0.25">
      <c r="A236" s="30" t="s">
        <v>245</v>
      </c>
      <c r="B236" s="30" t="s">
        <v>177</v>
      </c>
      <c r="C236" s="30" t="s">
        <v>143</v>
      </c>
      <c r="D236" s="31" t="s">
        <v>246</v>
      </c>
      <c r="E236" s="30" t="s">
        <v>145</v>
      </c>
      <c r="F236" s="30" t="s">
        <v>18</v>
      </c>
      <c r="G236" s="31" t="s">
        <v>247</v>
      </c>
      <c r="H236" s="32">
        <v>0</v>
      </c>
      <c r="I236" s="31"/>
      <c r="J236" s="33">
        <v>46204</v>
      </c>
      <c r="K236" s="32">
        <v>0</v>
      </c>
      <c r="L236" s="32"/>
      <c r="M236" s="32">
        <v>0</v>
      </c>
      <c r="N236" s="31"/>
      <c r="O236" s="34">
        <v>46119.80976851852</v>
      </c>
      <c r="P236" s="35" t="s">
        <v>72</v>
      </c>
      <c r="Q236" s="35" t="s">
        <v>79</v>
      </c>
      <c r="R236" s="33">
        <v>46244</v>
      </c>
      <c r="S236" s="30" t="s">
        <v>21</v>
      </c>
      <c r="T236" s="36">
        <v>235</v>
      </c>
      <c r="U236" s="30" t="s">
        <v>74</v>
      </c>
      <c r="V236" s="30" t="s">
        <v>73</v>
      </c>
    </row>
    <row r="237" spans="1:22" ht="30" x14ac:dyDescent="0.25">
      <c r="A237" s="30" t="s">
        <v>245</v>
      </c>
      <c r="B237" s="30" t="s">
        <v>177</v>
      </c>
      <c r="C237" s="30" t="s">
        <v>143</v>
      </c>
      <c r="D237" s="31" t="s">
        <v>246</v>
      </c>
      <c r="E237" s="30" t="s">
        <v>145</v>
      </c>
      <c r="F237" s="30" t="s">
        <v>18</v>
      </c>
      <c r="G237" s="31" t="s">
        <v>247</v>
      </c>
      <c r="H237" s="32">
        <v>0</v>
      </c>
      <c r="I237" s="31"/>
      <c r="J237" s="33">
        <v>46235</v>
      </c>
      <c r="K237" s="32">
        <v>0</v>
      </c>
      <c r="L237" s="32"/>
      <c r="M237" s="32">
        <v>0</v>
      </c>
      <c r="N237" s="31"/>
      <c r="O237" s="34">
        <v>46119.80976851852</v>
      </c>
      <c r="P237" s="35" t="s">
        <v>72</v>
      </c>
      <c r="Q237" s="35" t="s">
        <v>79</v>
      </c>
      <c r="R237" s="33">
        <v>46275</v>
      </c>
      <c r="S237" s="30" t="s">
        <v>21</v>
      </c>
      <c r="T237" s="36">
        <v>236</v>
      </c>
      <c r="U237" s="30" t="s">
        <v>74</v>
      </c>
      <c r="V237" s="30" t="s">
        <v>73</v>
      </c>
    </row>
    <row r="238" spans="1:22" ht="30" x14ac:dyDescent="0.25">
      <c r="A238" s="30" t="s">
        <v>245</v>
      </c>
      <c r="B238" s="30" t="s">
        <v>177</v>
      </c>
      <c r="C238" s="30" t="s">
        <v>143</v>
      </c>
      <c r="D238" s="31" t="s">
        <v>246</v>
      </c>
      <c r="E238" s="30" t="s">
        <v>145</v>
      </c>
      <c r="F238" s="30" t="s">
        <v>18</v>
      </c>
      <c r="G238" s="31" t="s">
        <v>247</v>
      </c>
      <c r="H238" s="32">
        <v>0</v>
      </c>
      <c r="I238" s="31"/>
      <c r="J238" s="33">
        <v>46266</v>
      </c>
      <c r="K238" s="32">
        <v>0</v>
      </c>
      <c r="L238" s="32"/>
      <c r="M238" s="32">
        <v>0</v>
      </c>
      <c r="N238" s="31"/>
      <c r="O238" s="34">
        <v>46119.80978009259</v>
      </c>
      <c r="P238" s="35" t="s">
        <v>72</v>
      </c>
      <c r="Q238" s="35" t="s">
        <v>79</v>
      </c>
      <c r="R238" s="33">
        <v>46306</v>
      </c>
      <c r="S238" s="30" t="s">
        <v>21</v>
      </c>
      <c r="T238" s="36">
        <v>237</v>
      </c>
      <c r="U238" s="30" t="s">
        <v>74</v>
      </c>
      <c r="V238" s="30" t="s">
        <v>73</v>
      </c>
    </row>
    <row r="239" spans="1:22" ht="30" x14ac:dyDescent="0.25">
      <c r="A239" s="30" t="s">
        <v>245</v>
      </c>
      <c r="B239" s="30" t="s">
        <v>177</v>
      </c>
      <c r="C239" s="30" t="s">
        <v>143</v>
      </c>
      <c r="D239" s="31" t="s">
        <v>246</v>
      </c>
      <c r="E239" s="30" t="s">
        <v>145</v>
      </c>
      <c r="F239" s="30" t="s">
        <v>18</v>
      </c>
      <c r="G239" s="31" t="s">
        <v>247</v>
      </c>
      <c r="H239" s="32">
        <v>0</v>
      </c>
      <c r="I239" s="31"/>
      <c r="J239" s="33">
        <v>46296</v>
      </c>
      <c r="K239" s="32">
        <v>0</v>
      </c>
      <c r="L239" s="32"/>
      <c r="M239" s="32">
        <v>0</v>
      </c>
      <c r="N239" s="31"/>
      <c r="O239" s="34">
        <v>46119.80978009259</v>
      </c>
      <c r="P239" s="35" t="s">
        <v>72</v>
      </c>
      <c r="Q239" s="35" t="s">
        <v>79</v>
      </c>
      <c r="R239" s="33">
        <v>46336</v>
      </c>
      <c r="S239" s="30" t="s">
        <v>21</v>
      </c>
      <c r="T239" s="36">
        <v>238</v>
      </c>
      <c r="U239" s="30" t="s">
        <v>74</v>
      </c>
      <c r="V239" s="30" t="s">
        <v>73</v>
      </c>
    </row>
    <row r="240" spans="1:22" ht="30" x14ac:dyDescent="0.25">
      <c r="A240" s="30" t="s">
        <v>245</v>
      </c>
      <c r="B240" s="30" t="s">
        <v>177</v>
      </c>
      <c r="C240" s="30" t="s">
        <v>143</v>
      </c>
      <c r="D240" s="31" t="s">
        <v>246</v>
      </c>
      <c r="E240" s="30" t="s">
        <v>145</v>
      </c>
      <c r="F240" s="30" t="s">
        <v>18</v>
      </c>
      <c r="G240" s="31" t="s">
        <v>247</v>
      </c>
      <c r="H240" s="32">
        <v>0</v>
      </c>
      <c r="I240" s="31"/>
      <c r="J240" s="33">
        <v>46327</v>
      </c>
      <c r="K240" s="32">
        <v>0</v>
      </c>
      <c r="L240" s="32"/>
      <c r="M240" s="32">
        <v>0</v>
      </c>
      <c r="N240" s="31"/>
      <c r="O240" s="34">
        <v>46119.80978009259</v>
      </c>
      <c r="P240" s="35" t="s">
        <v>72</v>
      </c>
      <c r="Q240" s="35" t="s">
        <v>79</v>
      </c>
      <c r="R240" s="33">
        <v>46367</v>
      </c>
      <c r="S240" s="30" t="s">
        <v>21</v>
      </c>
      <c r="T240" s="36">
        <v>239</v>
      </c>
      <c r="U240" s="30" t="s">
        <v>74</v>
      </c>
      <c r="V240" s="30" t="s">
        <v>73</v>
      </c>
    </row>
    <row r="241" spans="1:22" ht="30" x14ac:dyDescent="0.25">
      <c r="A241" s="30" t="s">
        <v>245</v>
      </c>
      <c r="B241" s="30" t="s">
        <v>177</v>
      </c>
      <c r="C241" s="30" t="s">
        <v>143</v>
      </c>
      <c r="D241" s="31" t="s">
        <v>246</v>
      </c>
      <c r="E241" s="30" t="s">
        <v>145</v>
      </c>
      <c r="F241" s="30" t="s">
        <v>18</v>
      </c>
      <c r="G241" s="31" t="s">
        <v>247</v>
      </c>
      <c r="H241" s="32">
        <v>3.3E-3</v>
      </c>
      <c r="I241" s="31"/>
      <c r="J241" s="33">
        <v>46357</v>
      </c>
      <c r="K241" s="32">
        <v>0</v>
      </c>
      <c r="L241" s="32"/>
      <c r="M241" s="32">
        <v>0</v>
      </c>
      <c r="N241" s="31"/>
      <c r="O241" s="34">
        <v>46119.810393518521</v>
      </c>
      <c r="P241" s="35" t="s">
        <v>72</v>
      </c>
      <c r="Q241" s="35" t="s">
        <v>79</v>
      </c>
      <c r="R241" s="33">
        <v>46397</v>
      </c>
      <c r="S241" s="30" t="s">
        <v>21</v>
      </c>
      <c r="T241" s="36">
        <v>240</v>
      </c>
      <c r="U241" s="30" t="s">
        <v>74</v>
      </c>
      <c r="V241" s="30" t="s">
        <v>73</v>
      </c>
    </row>
    <row r="242" spans="1:22" ht="165" x14ac:dyDescent="0.25">
      <c r="A242" s="30" t="s">
        <v>249</v>
      </c>
      <c r="B242" s="30" t="s">
        <v>177</v>
      </c>
      <c r="C242" s="30" t="s">
        <v>143</v>
      </c>
      <c r="D242" s="31" t="s">
        <v>250</v>
      </c>
      <c r="E242" s="30" t="s">
        <v>67</v>
      </c>
      <c r="F242" s="30" t="s">
        <v>18</v>
      </c>
      <c r="G242" s="31" t="s">
        <v>251</v>
      </c>
      <c r="H242" s="32">
        <v>0</v>
      </c>
      <c r="I242" s="31"/>
      <c r="J242" s="33">
        <v>46023</v>
      </c>
      <c r="K242" s="32">
        <v>0</v>
      </c>
      <c r="L242" s="32">
        <v>0</v>
      </c>
      <c r="M242" s="32">
        <v>0</v>
      </c>
      <c r="N242" s="31" t="s">
        <v>252</v>
      </c>
      <c r="O242" s="34">
        <v>46129.698645833334</v>
      </c>
      <c r="P242" s="35" t="s">
        <v>87</v>
      </c>
      <c r="Q242" s="35" t="s">
        <v>70</v>
      </c>
      <c r="R242" s="33">
        <v>46063</v>
      </c>
      <c r="S242" s="30" t="s">
        <v>85</v>
      </c>
      <c r="T242" s="36">
        <v>241</v>
      </c>
      <c r="U242" s="30" t="s">
        <v>74</v>
      </c>
      <c r="V242" s="30" t="s">
        <v>73</v>
      </c>
    </row>
    <row r="243" spans="1:22" ht="165" x14ac:dyDescent="0.25">
      <c r="A243" s="30" t="s">
        <v>249</v>
      </c>
      <c r="B243" s="30" t="s">
        <v>177</v>
      </c>
      <c r="C243" s="30" t="s">
        <v>143</v>
      </c>
      <c r="D243" s="31" t="s">
        <v>250</v>
      </c>
      <c r="E243" s="30" t="s">
        <v>67</v>
      </c>
      <c r="F243" s="30" t="s">
        <v>18</v>
      </c>
      <c r="G243" s="31" t="s">
        <v>251</v>
      </c>
      <c r="H243" s="32">
        <v>0</v>
      </c>
      <c r="I243" s="31"/>
      <c r="J243" s="33">
        <v>46054</v>
      </c>
      <c r="K243" s="32">
        <v>0</v>
      </c>
      <c r="L243" s="32">
        <v>0</v>
      </c>
      <c r="M243" s="32">
        <v>0</v>
      </c>
      <c r="N243" s="31" t="s">
        <v>253</v>
      </c>
      <c r="O243" s="34">
        <v>46129.698495370372</v>
      </c>
      <c r="P243" s="35" t="s">
        <v>87</v>
      </c>
      <c r="Q243" s="35" t="s">
        <v>70</v>
      </c>
      <c r="R243" s="33">
        <v>46094</v>
      </c>
      <c r="S243" s="30" t="s">
        <v>85</v>
      </c>
      <c r="T243" s="36">
        <v>242</v>
      </c>
      <c r="U243" s="30" t="s">
        <v>74</v>
      </c>
      <c r="V243" s="30" t="s">
        <v>73</v>
      </c>
    </row>
    <row r="244" spans="1:22" ht="165" x14ac:dyDescent="0.25">
      <c r="A244" s="30" t="s">
        <v>249</v>
      </c>
      <c r="B244" s="30" t="s">
        <v>177</v>
      </c>
      <c r="C244" s="30" t="s">
        <v>143</v>
      </c>
      <c r="D244" s="31" t="s">
        <v>250</v>
      </c>
      <c r="E244" s="30" t="s">
        <v>67</v>
      </c>
      <c r="F244" s="30" t="s">
        <v>18</v>
      </c>
      <c r="G244" s="31" t="s">
        <v>251</v>
      </c>
      <c r="H244" s="32">
        <v>0</v>
      </c>
      <c r="I244" s="31"/>
      <c r="J244" s="33">
        <v>46082</v>
      </c>
      <c r="K244" s="32">
        <v>0</v>
      </c>
      <c r="L244" s="32">
        <v>0</v>
      </c>
      <c r="M244" s="32">
        <v>0</v>
      </c>
      <c r="N244" s="31" t="s">
        <v>254</v>
      </c>
      <c r="O244" s="34">
        <v>46129.698391203703</v>
      </c>
      <c r="P244" s="35" t="s">
        <v>87</v>
      </c>
      <c r="Q244" s="35" t="s">
        <v>70</v>
      </c>
      <c r="R244" s="33">
        <v>46122</v>
      </c>
      <c r="S244" s="30" t="s">
        <v>85</v>
      </c>
      <c r="T244" s="36">
        <v>243</v>
      </c>
      <c r="U244" s="30" t="s">
        <v>74</v>
      </c>
      <c r="V244" s="30" t="s">
        <v>73</v>
      </c>
    </row>
    <row r="245" spans="1:22" ht="165" x14ac:dyDescent="0.25">
      <c r="A245" s="30" t="s">
        <v>249</v>
      </c>
      <c r="B245" s="30" t="s">
        <v>177</v>
      </c>
      <c r="C245" s="30" t="s">
        <v>143</v>
      </c>
      <c r="D245" s="31" t="s">
        <v>250</v>
      </c>
      <c r="E245" s="30" t="s">
        <v>67</v>
      </c>
      <c r="F245" s="30" t="s">
        <v>18</v>
      </c>
      <c r="G245" s="31" t="s">
        <v>251</v>
      </c>
      <c r="H245" s="32">
        <v>0</v>
      </c>
      <c r="I245" s="31"/>
      <c r="J245" s="33">
        <v>46113</v>
      </c>
      <c r="K245" s="32">
        <v>0</v>
      </c>
      <c r="L245" s="32">
        <v>0</v>
      </c>
      <c r="M245" s="32">
        <v>0</v>
      </c>
      <c r="N245" s="31" t="s">
        <v>255</v>
      </c>
      <c r="O245" s="34">
        <v>46220.479270833333</v>
      </c>
      <c r="P245" s="35" t="s">
        <v>76</v>
      </c>
      <c r="Q245" s="35" t="s">
        <v>79</v>
      </c>
      <c r="R245" s="33">
        <v>46153</v>
      </c>
      <c r="S245" s="30" t="s">
        <v>85</v>
      </c>
      <c r="T245" s="36">
        <v>244</v>
      </c>
      <c r="U245" s="30" t="s">
        <v>74</v>
      </c>
      <c r="V245" s="30" t="s">
        <v>73</v>
      </c>
    </row>
    <row r="246" spans="1:22" ht="165" x14ac:dyDescent="0.25">
      <c r="A246" s="30" t="s">
        <v>249</v>
      </c>
      <c r="B246" s="30" t="s">
        <v>177</v>
      </c>
      <c r="C246" s="30" t="s">
        <v>143</v>
      </c>
      <c r="D246" s="31" t="s">
        <v>250</v>
      </c>
      <c r="E246" s="30" t="s">
        <v>67</v>
      </c>
      <c r="F246" s="30" t="s">
        <v>18</v>
      </c>
      <c r="G246" s="31" t="s">
        <v>251</v>
      </c>
      <c r="H246" s="32">
        <v>0</v>
      </c>
      <c r="I246" s="31"/>
      <c r="J246" s="33">
        <v>46143</v>
      </c>
      <c r="K246" s="32">
        <v>0</v>
      </c>
      <c r="L246" s="32">
        <v>0</v>
      </c>
      <c r="M246" s="32">
        <v>0</v>
      </c>
      <c r="N246" s="31" t="s">
        <v>255</v>
      </c>
      <c r="O246" s="34">
        <v>46220.479409722226</v>
      </c>
      <c r="P246" s="35" t="s">
        <v>76</v>
      </c>
      <c r="Q246" s="35" t="s">
        <v>79</v>
      </c>
      <c r="R246" s="33">
        <v>46183</v>
      </c>
      <c r="S246" s="30" t="s">
        <v>85</v>
      </c>
      <c r="T246" s="36">
        <v>245</v>
      </c>
      <c r="U246" s="30" t="s">
        <v>74</v>
      </c>
      <c r="V246" s="30" t="s">
        <v>73</v>
      </c>
    </row>
    <row r="247" spans="1:22" ht="165" x14ac:dyDescent="0.25">
      <c r="A247" s="30" t="s">
        <v>249</v>
      </c>
      <c r="B247" s="30" t="s">
        <v>177</v>
      </c>
      <c r="C247" s="30" t="s">
        <v>143</v>
      </c>
      <c r="D247" s="31" t="s">
        <v>250</v>
      </c>
      <c r="E247" s="30" t="s">
        <v>67</v>
      </c>
      <c r="F247" s="30" t="s">
        <v>18</v>
      </c>
      <c r="G247" s="31" t="s">
        <v>251</v>
      </c>
      <c r="H247" s="32">
        <v>1</v>
      </c>
      <c r="I247" s="31"/>
      <c r="J247" s="33">
        <v>46174</v>
      </c>
      <c r="K247" s="32">
        <v>1</v>
      </c>
      <c r="L247" s="32">
        <v>1</v>
      </c>
      <c r="M247" s="32">
        <v>1</v>
      </c>
      <c r="N247" s="31" t="s">
        <v>256</v>
      </c>
      <c r="O247" s="34">
        <v>46220.800011574072</v>
      </c>
      <c r="P247" s="35" t="s">
        <v>76</v>
      </c>
      <c r="Q247" s="35" t="s">
        <v>79</v>
      </c>
      <c r="R247" s="33">
        <v>46214</v>
      </c>
      <c r="S247" s="30" t="s">
        <v>85</v>
      </c>
      <c r="T247" s="36">
        <v>246</v>
      </c>
      <c r="U247" s="30" t="s">
        <v>74</v>
      </c>
      <c r="V247" s="30" t="s">
        <v>73</v>
      </c>
    </row>
    <row r="248" spans="1:22" ht="165" x14ac:dyDescent="0.25">
      <c r="A248" s="30" t="s">
        <v>249</v>
      </c>
      <c r="B248" s="30" t="s">
        <v>177</v>
      </c>
      <c r="C248" s="30" t="s">
        <v>143</v>
      </c>
      <c r="D248" s="31" t="s">
        <v>250</v>
      </c>
      <c r="E248" s="30" t="s">
        <v>67</v>
      </c>
      <c r="F248" s="30" t="s">
        <v>18</v>
      </c>
      <c r="G248" s="31" t="s">
        <v>251</v>
      </c>
      <c r="H248" s="32">
        <v>1</v>
      </c>
      <c r="I248" s="31"/>
      <c r="J248" s="33">
        <v>46204</v>
      </c>
      <c r="K248" s="32">
        <v>0</v>
      </c>
      <c r="L248" s="32"/>
      <c r="M248" s="32">
        <v>0</v>
      </c>
      <c r="N248" s="31"/>
      <c r="O248" s="34">
        <v>46104.639166666668</v>
      </c>
      <c r="P248" s="35" t="s">
        <v>72</v>
      </c>
      <c r="Q248" s="35" t="s">
        <v>79</v>
      </c>
      <c r="R248" s="33">
        <v>46244</v>
      </c>
      <c r="S248" s="30" t="s">
        <v>85</v>
      </c>
      <c r="T248" s="36">
        <v>247</v>
      </c>
      <c r="U248" s="30" t="s">
        <v>74</v>
      </c>
      <c r="V248" s="30" t="s">
        <v>73</v>
      </c>
    </row>
    <row r="249" spans="1:22" ht="165" x14ac:dyDescent="0.25">
      <c r="A249" s="30" t="s">
        <v>249</v>
      </c>
      <c r="B249" s="30" t="s">
        <v>177</v>
      </c>
      <c r="C249" s="30" t="s">
        <v>143</v>
      </c>
      <c r="D249" s="31" t="s">
        <v>250</v>
      </c>
      <c r="E249" s="30" t="s">
        <v>67</v>
      </c>
      <c r="F249" s="30" t="s">
        <v>18</v>
      </c>
      <c r="G249" s="31" t="s">
        <v>251</v>
      </c>
      <c r="H249" s="32">
        <v>1</v>
      </c>
      <c r="I249" s="31"/>
      <c r="J249" s="33">
        <v>46235</v>
      </c>
      <c r="K249" s="32">
        <v>0</v>
      </c>
      <c r="L249" s="32"/>
      <c r="M249" s="32">
        <v>0</v>
      </c>
      <c r="N249" s="31"/>
      <c r="O249" s="34">
        <v>46104.639166666668</v>
      </c>
      <c r="P249" s="35" t="s">
        <v>72</v>
      </c>
      <c r="Q249" s="35" t="s">
        <v>79</v>
      </c>
      <c r="R249" s="33">
        <v>46275</v>
      </c>
      <c r="S249" s="30" t="s">
        <v>85</v>
      </c>
      <c r="T249" s="36">
        <v>248</v>
      </c>
      <c r="U249" s="30" t="s">
        <v>74</v>
      </c>
      <c r="V249" s="30" t="s">
        <v>73</v>
      </c>
    </row>
    <row r="250" spans="1:22" ht="165" x14ac:dyDescent="0.25">
      <c r="A250" s="30" t="s">
        <v>249</v>
      </c>
      <c r="B250" s="30" t="s">
        <v>177</v>
      </c>
      <c r="C250" s="30" t="s">
        <v>143</v>
      </c>
      <c r="D250" s="31" t="s">
        <v>250</v>
      </c>
      <c r="E250" s="30" t="s">
        <v>67</v>
      </c>
      <c r="F250" s="30" t="s">
        <v>18</v>
      </c>
      <c r="G250" s="31" t="s">
        <v>251</v>
      </c>
      <c r="H250" s="32">
        <v>1</v>
      </c>
      <c r="I250" s="31"/>
      <c r="J250" s="33">
        <v>46266</v>
      </c>
      <c r="K250" s="32">
        <v>0</v>
      </c>
      <c r="L250" s="32"/>
      <c r="M250" s="32">
        <v>0</v>
      </c>
      <c r="N250" s="31"/>
      <c r="O250" s="34">
        <v>46104.639166666668</v>
      </c>
      <c r="P250" s="35" t="s">
        <v>72</v>
      </c>
      <c r="Q250" s="35" t="s">
        <v>79</v>
      </c>
      <c r="R250" s="33">
        <v>46306</v>
      </c>
      <c r="S250" s="30" t="s">
        <v>85</v>
      </c>
      <c r="T250" s="36">
        <v>249</v>
      </c>
      <c r="U250" s="30" t="s">
        <v>74</v>
      </c>
      <c r="V250" s="30" t="s">
        <v>73</v>
      </c>
    </row>
    <row r="251" spans="1:22" ht="165" x14ac:dyDescent="0.25">
      <c r="A251" s="30" t="s">
        <v>249</v>
      </c>
      <c r="B251" s="30" t="s">
        <v>177</v>
      </c>
      <c r="C251" s="30" t="s">
        <v>143</v>
      </c>
      <c r="D251" s="31" t="s">
        <v>250</v>
      </c>
      <c r="E251" s="30" t="s">
        <v>67</v>
      </c>
      <c r="F251" s="30" t="s">
        <v>18</v>
      </c>
      <c r="G251" s="31" t="s">
        <v>251</v>
      </c>
      <c r="H251" s="32">
        <v>1</v>
      </c>
      <c r="I251" s="31"/>
      <c r="J251" s="33">
        <v>46296</v>
      </c>
      <c r="K251" s="32">
        <v>0</v>
      </c>
      <c r="L251" s="32"/>
      <c r="M251" s="32">
        <v>0</v>
      </c>
      <c r="N251" s="31"/>
      <c r="O251" s="34">
        <v>46104.639166666668</v>
      </c>
      <c r="P251" s="35" t="s">
        <v>72</v>
      </c>
      <c r="Q251" s="35" t="s">
        <v>79</v>
      </c>
      <c r="R251" s="33">
        <v>46336</v>
      </c>
      <c r="S251" s="30" t="s">
        <v>85</v>
      </c>
      <c r="T251" s="36">
        <v>250</v>
      </c>
      <c r="U251" s="30" t="s">
        <v>74</v>
      </c>
      <c r="V251" s="30" t="s">
        <v>73</v>
      </c>
    </row>
    <row r="252" spans="1:22" ht="165" x14ac:dyDescent="0.25">
      <c r="A252" s="30" t="s">
        <v>249</v>
      </c>
      <c r="B252" s="30" t="s">
        <v>177</v>
      </c>
      <c r="C252" s="30" t="s">
        <v>143</v>
      </c>
      <c r="D252" s="31" t="s">
        <v>250</v>
      </c>
      <c r="E252" s="30" t="s">
        <v>67</v>
      </c>
      <c r="F252" s="30" t="s">
        <v>18</v>
      </c>
      <c r="G252" s="31" t="s">
        <v>251</v>
      </c>
      <c r="H252" s="32">
        <v>1</v>
      </c>
      <c r="I252" s="31"/>
      <c r="J252" s="33">
        <v>46327</v>
      </c>
      <c r="K252" s="32">
        <v>0</v>
      </c>
      <c r="L252" s="32"/>
      <c r="M252" s="32">
        <v>0</v>
      </c>
      <c r="N252" s="31"/>
      <c r="O252" s="34">
        <v>46104.639166666668</v>
      </c>
      <c r="P252" s="35" t="s">
        <v>72</v>
      </c>
      <c r="Q252" s="35" t="s">
        <v>79</v>
      </c>
      <c r="R252" s="33">
        <v>46367</v>
      </c>
      <c r="S252" s="30" t="s">
        <v>85</v>
      </c>
      <c r="T252" s="36">
        <v>251</v>
      </c>
      <c r="U252" s="30" t="s">
        <v>74</v>
      </c>
      <c r="V252" s="30" t="s">
        <v>73</v>
      </c>
    </row>
    <row r="253" spans="1:22" ht="165" x14ac:dyDescent="0.25">
      <c r="A253" s="30" t="s">
        <v>249</v>
      </c>
      <c r="B253" s="30" t="s">
        <v>177</v>
      </c>
      <c r="C253" s="30" t="s">
        <v>143</v>
      </c>
      <c r="D253" s="31" t="s">
        <v>250</v>
      </c>
      <c r="E253" s="30" t="s">
        <v>67</v>
      </c>
      <c r="F253" s="30" t="s">
        <v>18</v>
      </c>
      <c r="G253" s="31" t="s">
        <v>251</v>
      </c>
      <c r="H253" s="32">
        <v>2</v>
      </c>
      <c r="I253" s="31"/>
      <c r="J253" s="33">
        <v>46357</v>
      </c>
      <c r="K253" s="32">
        <v>0</v>
      </c>
      <c r="L253" s="32"/>
      <c r="M253" s="32">
        <v>0</v>
      </c>
      <c r="N253" s="31"/>
      <c r="O253" s="34">
        <v>46104.639166666668</v>
      </c>
      <c r="P253" s="35" t="s">
        <v>72</v>
      </c>
      <c r="Q253" s="35" t="s">
        <v>79</v>
      </c>
      <c r="R253" s="33">
        <v>46397</v>
      </c>
      <c r="S253" s="30" t="s">
        <v>85</v>
      </c>
      <c r="T253" s="36">
        <v>252</v>
      </c>
      <c r="U253" s="30" t="s">
        <v>74</v>
      </c>
      <c r="V253" s="30" t="s">
        <v>73</v>
      </c>
    </row>
    <row r="254" spans="1:22" ht="75" x14ac:dyDescent="0.25">
      <c r="A254" s="30" t="s">
        <v>257</v>
      </c>
      <c r="B254" s="30" t="s">
        <v>177</v>
      </c>
      <c r="C254" s="30" t="s">
        <v>143</v>
      </c>
      <c r="D254" s="31" t="s">
        <v>258</v>
      </c>
      <c r="E254" s="30" t="s">
        <v>160</v>
      </c>
      <c r="F254" s="30" t="s">
        <v>22</v>
      </c>
      <c r="G254" s="31" t="s">
        <v>259</v>
      </c>
      <c r="H254" s="32">
        <v>0</v>
      </c>
      <c r="I254" s="31"/>
      <c r="J254" s="33">
        <v>46023</v>
      </c>
      <c r="K254" s="32">
        <v>1</v>
      </c>
      <c r="L254" s="32">
        <v>0</v>
      </c>
      <c r="M254" s="32">
        <v>0</v>
      </c>
      <c r="N254" s="31" t="s">
        <v>260</v>
      </c>
      <c r="O254" s="34">
        <v>46203.472291666665</v>
      </c>
      <c r="P254" s="35" t="s">
        <v>162</v>
      </c>
      <c r="Q254" s="35" t="s">
        <v>70</v>
      </c>
      <c r="R254" s="33">
        <v>46063</v>
      </c>
      <c r="S254" s="30" t="s">
        <v>21</v>
      </c>
      <c r="T254" s="36">
        <v>253</v>
      </c>
      <c r="U254" s="30" t="s">
        <v>74</v>
      </c>
      <c r="V254" s="30" t="s">
        <v>73</v>
      </c>
    </row>
    <row r="255" spans="1:22" ht="75" x14ac:dyDescent="0.25">
      <c r="A255" s="30" t="s">
        <v>257</v>
      </c>
      <c r="B255" s="30" t="s">
        <v>177</v>
      </c>
      <c r="C255" s="30" t="s">
        <v>143</v>
      </c>
      <c r="D255" s="31" t="s">
        <v>258</v>
      </c>
      <c r="E255" s="30" t="s">
        <v>160</v>
      </c>
      <c r="F255" s="30" t="s">
        <v>22</v>
      </c>
      <c r="G255" s="31" t="s">
        <v>259</v>
      </c>
      <c r="H255" s="32">
        <v>0</v>
      </c>
      <c r="I255" s="31"/>
      <c r="J255" s="33">
        <v>46054</v>
      </c>
      <c r="K255" s="32">
        <v>1</v>
      </c>
      <c r="L255" s="32">
        <v>0</v>
      </c>
      <c r="M255" s="32">
        <v>0</v>
      </c>
      <c r="N255" s="31" t="s">
        <v>260</v>
      </c>
      <c r="O255" s="34">
        <v>46204.509502314817</v>
      </c>
      <c r="P255" s="35" t="s">
        <v>261</v>
      </c>
      <c r="Q255" s="35" t="s">
        <v>79</v>
      </c>
      <c r="R255" s="33">
        <v>46094</v>
      </c>
      <c r="S255" s="30" t="s">
        <v>21</v>
      </c>
      <c r="T255" s="36">
        <v>254</v>
      </c>
      <c r="U255" s="30" t="s">
        <v>74</v>
      </c>
      <c r="V255" s="30" t="s">
        <v>73</v>
      </c>
    </row>
    <row r="256" spans="1:22" ht="75" x14ac:dyDescent="0.25">
      <c r="A256" s="30" t="s">
        <v>257</v>
      </c>
      <c r="B256" s="30" t="s">
        <v>177</v>
      </c>
      <c r="C256" s="30" t="s">
        <v>143</v>
      </c>
      <c r="D256" s="31" t="s">
        <v>258</v>
      </c>
      <c r="E256" s="30" t="s">
        <v>160</v>
      </c>
      <c r="F256" s="30" t="s">
        <v>22</v>
      </c>
      <c r="G256" s="31" t="s">
        <v>259</v>
      </c>
      <c r="H256" s="32">
        <v>0</v>
      </c>
      <c r="I256" s="31"/>
      <c r="J256" s="33">
        <v>46082</v>
      </c>
      <c r="K256" s="32">
        <v>1</v>
      </c>
      <c r="L256" s="32">
        <v>0</v>
      </c>
      <c r="M256" s="32">
        <v>0</v>
      </c>
      <c r="N256" s="31" t="s">
        <v>260</v>
      </c>
      <c r="O256" s="34">
        <v>46204.435057870367</v>
      </c>
      <c r="P256" s="35" t="s">
        <v>162</v>
      </c>
      <c r="Q256" s="35" t="s">
        <v>70</v>
      </c>
      <c r="R256" s="33">
        <v>46122</v>
      </c>
      <c r="S256" s="30" t="s">
        <v>21</v>
      </c>
      <c r="T256" s="36">
        <v>255</v>
      </c>
      <c r="U256" s="30" t="s">
        <v>74</v>
      </c>
      <c r="V256" s="30" t="s">
        <v>73</v>
      </c>
    </row>
    <row r="257" spans="1:22" ht="75" x14ac:dyDescent="0.25">
      <c r="A257" s="30" t="s">
        <v>257</v>
      </c>
      <c r="B257" s="30" t="s">
        <v>177</v>
      </c>
      <c r="C257" s="30" t="s">
        <v>143</v>
      </c>
      <c r="D257" s="31" t="s">
        <v>258</v>
      </c>
      <c r="E257" s="30" t="s">
        <v>160</v>
      </c>
      <c r="F257" s="30" t="s">
        <v>22</v>
      </c>
      <c r="G257" s="31" t="s">
        <v>259</v>
      </c>
      <c r="H257" s="32">
        <v>0</v>
      </c>
      <c r="I257" s="31"/>
      <c r="J257" s="33">
        <v>46113</v>
      </c>
      <c r="K257" s="32">
        <v>1</v>
      </c>
      <c r="L257" s="32">
        <v>0</v>
      </c>
      <c r="M257" s="32">
        <v>0</v>
      </c>
      <c r="N257" s="31" t="s">
        <v>262</v>
      </c>
      <c r="O257" s="34">
        <v>46204.509652777779</v>
      </c>
      <c r="P257" s="35" t="s">
        <v>162</v>
      </c>
      <c r="Q257" s="35" t="s">
        <v>70</v>
      </c>
      <c r="R257" s="33">
        <v>46153</v>
      </c>
      <c r="S257" s="30" t="s">
        <v>21</v>
      </c>
      <c r="T257" s="36">
        <v>256</v>
      </c>
      <c r="U257" s="30" t="s">
        <v>74</v>
      </c>
      <c r="V257" s="30" t="s">
        <v>73</v>
      </c>
    </row>
    <row r="258" spans="1:22" ht="150" x14ac:dyDescent="0.25">
      <c r="A258" s="30" t="s">
        <v>257</v>
      </c>
      <c r="B258" s="30" t="s">
        <v>177</v>
      </c>
      <c r="C258" s="30" t="s">
        <v>143</v>
      </c>
      <c r="D258" s="31" t="s">
        <v>258</v>
      </c>
      <c r="E258" s="30" t="s">
        <v>160</v>
      </c>
      <c r="F258" s="30" t="s">
        <v>22</v>
      </c>
      <c r="G258" s="31" t="s">
        <v>259</v>
      </c>
      <c r="H258" s="32">
        <v>0</v>
      </c>
      <c r="I258" s="31"/>
      <c r="J258" s="33">
        <v>46143</v>
      </c>
      <c r="K258" s="32">
        <v>1</v>
      </c>
      <c r="L258" s="32">
        <v>0</v>
      </c>
      <c r="M258" s="32">
        <v>0</v>
      </c>
      <c r="N258" s="31" t="s">
        <v>263</v>
      </c>
      <c r="O258" s="34">
        <v>46204.509733796294</v>
      </c>
      <c r="P258" s="35" t="s">
        <v>162</v>
      </c>
      <c r="Q258" s="35" t="s">
        <v>70</v>
      </c>
      <c r="R258" s="33">
        <v>46183</v>
      </c>
      <c r="S258" s="30" t="s">
        <v>21</v>
      </c>
      <c r="T258" s="36">
        <v>257</v>
      </c>
      <c r="U258" s="30" t="s">
        <v>74</v>
      </c>
      <c r="V258" s="30" t="s">
        <v>73</v>
      </c>
    </row>
    <row r="259" spans="1:22" ht="150" x14ac:dyDescent="0.25">
      <c r="A259" s="30" t="s">
        <v>257</v>
      </c>
      <c r="B259" s="30" t="s">
        <v>177</v>
      </c>
      <c r="C259" s="30" t="s">
        <v>143</v>
      </c>
      <c r="D259" s="31" t="s">
        <v>258</v>
      </c>
      <c r="E259" s="30" t="s">
        <v>160</v>
      </c>
      <c r="F259" s="30" t="s">
        <v>22</v>
      </c>
      <c r="G259" s="31" t="s">
        <v>259</v>
      </c>
      <c r="H259" s="32">
        <v>0</v>
      </c>
      <c r="I259" s="31"/>
      <c r="J259" s="33">
        <v>46174</v>
      </c>
      <c r="K259" s="32">
        <v>0</v>
      </c>
      <c r="L259" s="32">
        <v>0</v>
      </c>
      <c r="M259" s="32">
        <v>0</v>
      </c>
      <c r="N259" s="31" t="s">
        <v>264</v>
      </c>
      <c r="O259" s="34">
        <v>46220.666180555556</v>
      </c>
      <c r="P259" s="35" t="s">
        <v>265</v>
      </c>
      <c r="Q259" s="35" t="s">
        <v>70</v>
      </c>
      <c r="R259" s="33">
        <v>46214</v>
      </c>
      <c r="S259" s="30" t="s">
        <v>21</v>
      </c>
      <c r="T259" s="36">
        <v>258</v>
      </c>
      <c r="U259" s="30" t="s">
        <v>74</v>
      </c>
      <c r="V259" s="30" t="s">
        <v>73</v>
      </c>
    </row>
    <row r="260" spans="1:22" ht="75" x14ac:dyDescent="0.25">
      <c r="A260" s="30" t="s">
        <v>257</v>
      </c>
      <c r="B260" s="30" t="s">
        <v>177</v>
      </c>
      <c r="C260" s="30" t="s">
        <v>143</v>
      </c>
      <c r="D260" s="31" t="s">
        <v>258</v>
      </c>
      <c r="E260" s="30" t="s">
        <v>160</v>
      </c>
      <c r="F260" s="30" t="s">
        <v>22</v>
      </c>
      <c r="G260" s="31" t="s">
        <v>259</v>
      </c>
      <c r="H260" s="32">
        <v>0</v>
      </c>
      <c r="I260" s="31"/>
      <c r="J260" s="33">
        <v>46204</v>
      </c>
      <c r="K260" s="32">
        <v>0</v>
      </c>
      <c r="L260" s="32"/>
      <c r="M260" s="32">
        <v>0</v>
      </c>
      <c r="N260" s="31"/>
      <c r="O260" s="34">
        <v>46106.668749999997</v>
      </c>
      <c r="P260" s="35" t="s">
        <v>72</v>
      </c>
      <c r="Q260" s="35" t="s">
        <v>79</v>
      </c>
      <c r="R260" s="33">
        <v>46244</v>
      </c>
      <c r="S260" s="30" t="s">
        <v>21</v>
      </c>
      <c r="T260" s="36">
        <v>259</v>
      </c>
      <c r="U260" s="30" t="s">
        <v>74</v>
      </c>
      <c r="V260" s="30" t="s">
        <v>73</v>
      </c>
    </row>
    <row r="261" spans="1:22" ht="75" x14ac:dyDescent="0.25">
      <c r="A261" s="30" t="s">
        <v>257</v>
      </c>
      <c r="B261" s="30" t="s">
        <v>177</v>
      </c>
      <c r="C261" s="30" t="s">
        <v>143</v>
      </c>
      <c r="D261" s="31" t="s">
        <v>258</v>
      </c>
      <c r="E261" s="30" t="s">
        <v>160</v>
      </c>
      <c r="F261" s="30" t="s">
        <v>22</v>
      </c>
      <c r="G261" s="31" t="s">
        <v>259</v>
      </c>
      <c r="H261" s="32">
        <v>0</v>
      </c>
      <c r="I261" s="31"/>
      <c r="J261" s="33">
        <v>46235</v>
      </c>
      <c r="K261" s="32">
        <v>0</v>
      </c>
      <c r="L261" s="32"/>
      <c r="M261" s="32">
        <v>0</v>
      </c>
      <c r="N261" s="31"/>
      <c r="O261" s="34">
        <v>46106.668749999997</v>
      </c>
      <c r="P261" s="35" t="s">
        <v>72</v>
      </c>
      <c r="Q261" s="35" t="s">
        <v>79</v>
      </c>
      <c r="R261" s="33">
        <v>46275</v>
      </c>
      <c r="S261" s="30" t="s">
        <v>21</v>
      </c>
      <c r="T261" s="36">
        <v>260</v>
      </c>
      <c r="U261" s="30" t="s">
        <v>74</v>
      </c>
      <c r="V261" s="30" t="s">
        <v>73</v>
      </c>
    </row>
    <row r="262" spans="1:22" ht="75" x14ac:dyDescent="0.25">
      <c r="A262" s="30" t="s">
        <v>257</v>
      </c>
      <c r="B262" s="30" t="s">
        <v>177</v>
      </c>
      <c r="C262" s="30" t="s">
        <v>143</v>
      </c>
      <c r="D262" s="31" t="s">
        <v>258</v>
      </c>
      <c r="E262" s="30" t="s">
        <v>160</v>
      </c>
      <c r="F262" s="30" t="s">
        <v>22</v>
      </c>
      <c r="G262" s="31" t="s">
        <v>259</v>
      </c>
      <c r="H262" s="32">
        <v>0</v>
      </c>
      <c r="I262" s="31"/>
      <c r="J262" s="33">
        <v>46266</v>
      </c>
      <c r="K262" s="32">
        <v>0</v>
      </c>
      <c r="L262" s="32"/>
      <c r="M262" s="32">
        <v>0</v>
      </c>
      <c r="N262" s="31"/>
      <c r="O262" s="34">
        <v>46106.668749999997</v>
      </c>
      <c r="P262" s="35" t="s">
        <v>72</v>
      </c>
      <c r="Q262" s="35" t="s">
        <v>79</v>
      </c>
      <c r="R262" s="33">
        <v>46306</v>
      </c>
      <c r="S262" s="30" t="s">
        <v>21</v>
      </c>
      <c r="T262" s="36">
        <v>261</v>
      </c>
      <c r="U262" s="30" t="s">
        <v>74</v>
      </c>
      <c r="V262" s="30" t="s">
        <v>73</v>
      </c>
    </row>
    <row r="263" spans="1:22" ht="75" x14ac:dyDescent="0.25">
      <c r="A263" s="30" t="s">
        <v>257</v>
      </c>
      <c r="B263" s="30" t="s">
        <v>177</v>
      </c>
      <c r="C263" s="30" t="s">
        <v>143</v>
      </c>
      <c r="D263" s="31" t="s">
        <v>258</v>
      </c>
      <c r="E263" s="30" t="s">
        <v>160</v>
      </c>
      <c r="F263" s="30" t="s">
        <v>22</v>
      </c>
      <c r="G263" s="31" t="s">
        <v>259</v>
      </c>
      <c r="H263" s="32">
        <v>0.3</v>
      </c>
      <c r="I263" s="31"/>
      <c r="J263" s="33">
        <v>46296</v>
      </c>
      <c r="K263" s="32">
        <v>0</v>
      </c>
      <c r="L263" s="32"/>
      <c r="M263" s="32">
        <v>0</v>
      </c>
      <c r="N263" s="31"/>
      <c r="O263" s="34">
        <v>46106.668749999997</v>
      </c>
      <c r="P263" s="35" t="s">
        <v>72</v>
      </c>
      <c r="Q263" s="35" t="s">
        <v>79</v>
      </c>
      <c r="R263" s="33">
        <v>46336</v>
      </c>
      <c r="S263" s="30" t="s">
        <v>21</v>
      </c>
      <c r="T263" s="36">
        <v>262</v>
      </c>
      <c r="U263" s="30" t="s">
        <v>74</v>
      </c>
      <c r="V263" s="30" t="s">
        <v>73</v>
      </c>
    </row>
    <row r="264" spans="1:22" ht="75" x14ac:dyDescent="0.25">
      <c r="A264" s="30" t="s">
        <v>257</v>
      </c>
      <c r="B264" s="30" t="s">
        <v>177</v>
      </c>
      <c r="C264" s="30" t="s">
        <v>143</v>
      </c>
      <c r="D264" s="31" t="s">
        <v>258</v>
      </c>
      <c r="E264" s="30" t="s">
        <v>160</v>
      </c>
      <c r="F264" s="30" t="s">
        <v>22</v>
      </c>
      <c r="G264" s="31" t="s">
        <v>259</v>
      </c>
      <c r="H264" s="32">
        <v>0.6</v>
      </c>
      <c r="I264" s="31"/>
      <c r="J264" s="33">
        <v>46327</v>
      </c>
      <c r="K264" s="32">
        <v>0</v>
      </c>
      <c r="L264" s="32"/>
      <c r="M264" s="32">
        <v>0</v>
      </c>
      <c r="N264" s="31"/>
      <c r="O264" s="34">
        <v>46106.668749999997</v>
      </c>
      <c r="P264" s="35" t="s">
        <v>72</v>
      </c>
      <c r="Q264" s="35" t="s">
        <v>79</v>
      </c>
      <c r="R264" s="33">
        <v>46367</v>
      </c>
      <c r="S264" s="30" t="s">
        <v>21</v>
      </c>
      <c r="T264" s="36">
        <v>263</v>
      </c>
      <c r="U264" s="30" t="s">
        <v>74</v>
      </c>
      <c r="V264" s="30" t="s">
        <v>73</v>
      </c>
    </row>
    <row r="265" spans="1:22" ht="75" x14ac:dyDescent="0.25">
      <c r="A265" s="30" t="s">
        <v>257</v>
      </c>
      <c r="B265" s="30" t="s">
        <v>177</v>
      </c>
      <c r="C265" s="30" t="s">
        <v>143</v>
      </c>
      <c r="D265" s="31" t="s">
        <v>258</v>
      </c>
      <c r="E265" s="30" t="s">
        <v>160</v>
      </c>
      <c r="F265" s="30" t="s">
        <v>22</v>
      </c>
      <c r="G265" s="31" t="s">
        <v>259</v>
      </c>
      <c r="H265" s="32">
        <v>0.9</v>
      </c>
      <c r="I265" s="31"/>
      <c r="J265" s="33">
        <v>46357</v>
      </c>
      <c r="K265" s="32">
        <v>0</v>
      </c>
      <c r="L265" s="32"/>
      <c r="M265" s="32">
        <v>0</v>
      </c>
      <c r="N265" s="31"/>
      <c r="O265" s="34">
        <v>46106.668749999997</v>
      </c>
      <c r="P265" s="35" t="s">
        <v>72</v>
      </c>
      <c r="Q265" s="35" t="s">
        <v>79</v>
      </c>
      <c r="R265" s="33">
        <v>46397</v>
      </c>
      <c r="S265" s="30" t="s">
        <v>21</v>
      </c>
      <c r="T265" s="36">
        <v>264</v>
      </c>
      <c r="U265" s="30" t="s">
        <v>74</v>
      </c>
      <c r="V265" s="30" t="s">
        <v>73</v>
      </c>
    </row>
    <row r="266" spans="1:22" ht="75" x14ac:dyDescent="0.25">
      <c r="A266" s="30" t="s">
        <v>266</v>
      </c>
      <c r="B266" s="30" t="s">
        <v>177</v>
      </c>
      <c r="C266" s="30" t="s">
        <v>167</v>
      </c>
      <c r="D266" s="31" t="s">
        <v>267</v>
      </c>
      <c r="E266" s="30" t="s">
        <v>67</v>
      </c>
      <c r="F266" s="30" t="s">
        <v>18</v>
      </c>
      <c r="G266" s="31" t="s">
        <v>268</v>
      </c>
      <c r="H266" s="32">
        <v>5.0000000000000001E-3</v>
      </c>
      <c r="I266" s="31"/>
      <c r="J266" s="33">
        <v>46023</v>
      </c>
      <c r="K266" s="32">
        <v>1.0200000000000001E-2</v>
      </c>
      <c r="L266" s="32">
        <v>1.0967</v>
      </c>
      <c r="M266" s="32">
        <v>1</v>
      </c>
      <c r="N266" s="31" t="s">
        <v>269</v>
      </c>
      <c r="O266" s="34">
        <v>46220.815798611111</v>
      </c>
      <c r="P266" s="35" t="s">
        <v>109</v>
      </c>
      <c r="Q266" s="35" t="s">
        <v>70</v>
      </c>
      <c r="R266" s="33">
        <v>46063</v>
      </c>
      <c r="S266" s="30" t="s">
        <v>21</v>
      </c>
      <c r="T266" s="36">
        <v>265</v>
      </c>
      <c r="U266" s="30" t="s">
        <v>74</v>
      </c>
      <c r="V266" s="30" t="s">
        <v>73</v>
      </c>
    </row>
    <row r="267" spans="1:22" ht="105" x14ac:dyDescent="0.25">
      <c r="A267" s="30" t="s">
        <v>266</v>
      </c>
      <c r="B267" s="30" t="s">
        <v>177</v>
      </c>
      <c r="C267" s="30" t="s">
        <v>167</v>
      </c>
      <c r="D267" s="31" t="s">
        <v>267</v>
      </c>
      <c r="E267" s="30" t="s">
        <v>67</v>
      </c>
      <c r="F267" s="30" t="s">
        <v>18</v>
      </c>
      <c r="G267" s="31" t="s">
        <v>268</v>
      </c>
      <c r="H267" s="32">
        <v>5.0000000000000001E-3</v>
      </c>
      <c r="I267" s="31"/>
      <c r="J267" s="33">
        <v>46054</v>
      </c>
      <c r="K267" s="32">
        <v>3.7599999999999998E-4</v>
      </c>
      <c r="L267" s="32">
        <v>0.95760000000000001</v>
      </c>
      <c r="M267" s="32">
        <v>0.95760000000000001</v>
      </c>
      <c r="N267" s="31" t="s">
        <v>270</v>
      </c>
      <c r="O267" s="34">
        <v>46220.816087962965</v>
      </c>
      <c r="P267" s="35" t="s">
        <v>109</v>
      </c>
      <c r="Q267" s="35" t="s">
        <v>70</v>
      </c>
      <c r="R267" s="33">
        <v>46094</v>
      </c>
      <c r="S267" s="30" t="s">
        <v>21</v>
      </c>
      <c r="T267" s="36">
        <v>266</v>
      </c>
      <c r="U267" s="30" t="s">
        <v>74</v>
      </c>
      <c r="V267" s="30" t="s">
        <v>73</v>
      </c>
    </row>
    <row r="268" spans="1:22" ht="120" x14ac:dyDescent="0.25">
      <c r="A268" s="30" t="s">
        <v>266</v>
      </c>
      <c r="B268" s="30" t="s">
        <v>177</v>
      </c>
      <c r="C268" s="30" t="s">
        <v>167</v>
      </c>
      <c r="D268" s="31" t="s">
        <v>267</v>
      </c>
      <c r="E268" s="30" t="s">
        <v>67</v>
      </c>
      <c r="F268" s="30" t="s">
        <v>18</v>
      </c>
      <c r="G268" s="31" t="s">
        <v>268</v>
      </c>
      <c r="H268" s="32">
        <v>5.0000000000000001E-3</v>
      </c>
      <c r="I268" s="31"/>
      <c r="J268" s="33">
        <v>46082</v>
      </c>
      <c r="K268" s="32">
        <v>5.7000000000000002E-3</v>
      </c>
      <c r="L268" s="32">
        <v>1.1399999999999999</v>
      </c>
      <c r="M268" s="32">
        <v>1</v>
      </c>
      <c r="N268" s="31" t="s">
        <v>271</v>
      </c>
      <c r="O268" s="34">
        <v>46129.728993055556</v>
      </c>
      <c r="P268" s="35" t="s">
        <v>72</v>
      </c>
      <c r="Q268" s="35" t="s">
        <v>70</v>
      </c>
      <c r="R268" s="33">
        <v>46122</v>
      </c>
      <c r="S268" s="30" t="s">
        <v>21</v>
      </c>
      <c r="T268" s="36">
        <v>267</v>
      </c>
      <c r="U268" s="30" t="s">
        <v>74</v>
      </c>
      <c r="V268" s="30" t="s">
        <v>73</v>
      </c>
    </row>
    <row r="269" spans="1:22" ht="60" x14ac:dyDescent="0.25">
      <c r="A269" s="30" t="s">
        <v>266</v>
      </c>
      <c r="B269" s="30" t="s">
        <v>177</v>
      </c>
      <c r="C269" s="30" t="s">
        <v>167</v>
      </c>
      <c r="D269" s="31" t="s">
        <v>267</v>
      </c>
      <c r="E269" s="30" t="s">
        <v>67</v>
      </c>
      <c r="F269" s="30" t="s">
        <v>18</v>
      </c>
      <c r="G269" s="31" t="s">
        <v>268</v>
      </c>
      <c r="H269" s="32">
        <v>0.01</v>
      </c>
      <c r="I269" s="31"/>
      <c r="J269" s="33">
        <v>46113</v>
      </c>
      <c r="K269" s="32">
        <v>1.0189999999999999E-2</v>
      </c>
      <c r="L269" s="32">
        <v>0.1009</v>
      </c>
      <c r="M269" s="32">
        <v>0.1009</v>
      </c>
      <c r="N269" s="31" t="s">
        <v>272</v>
      </c>
      <c r="O269" s="34">
        <v>46220.8125462963</v>
      </c>
      <c r="P269" s="35" t="s">
        <v>109</v>
      </c>
      <c r="Q269" s="35" t="s">
        <v>79</v>
      </c>
      <c r="R269" s="33">
        <v>46153</v>
      </c>
      <c r="S269" s="30" t="s">
        <v>21</v>
      </c>
      <c r="T269" s="36">
        <v>268</v>
      </c>
      <c r="U269" s="30" t="s">
        <v>74</v>
      </c>
      <c r="V269" s="30" t="s">
        <v>73</v>
      </c>
    </row>
    <row r="270" spans="1:22" ht="60" x14ac:dyDescent="0.25">
      <c r="A270" s="30" t="s">
        <v>266</v>
      </c>
      <c r="B270" s="30" t="s">
        <v>177</v>
      </c>
      <c r="C270" s="30" t="s">
        <v>167</v>
      </c>
      <c r="D270" s="31" t="s">
        <v>267</v>
      </c>
      <c r="E270" s="30" t="s">
        <v>67</v>
      </c>
      <c r="F270" s="30" t="s">
        <v>18</v>
      </c>
      <c r="G270" s="31" t="s">
        <v>268</v>
      </c>
      <c r="H270" s="32">
        <v>0.01</v>
      </c>
      <c r="I270" s="31"/>
      <c r="J270" s="33">
        <v>46143</v>
      </c>
      <c r="K270" s="32">
        <v>0.10249999999999999</v>
      </c>
      <c r="L270" s="32">
        <v>0.1048</v>
      </c>
      <c r="M270" s="32">
        <v>0.1048</v>
      </c>
      <c r="N270" s="31" t="s">
        <v>273</v>
      </c>
      <c r="O270" s="34">
        <v>46220.813009259262</v>
      </c>
      <c r="P270" s="35" t="s">
        <v>109</v>
      </c>
      <c r="Q270" s="35" t="s">
        <v>79</v>
      </c>
      <c r="R270" s="33">
        <v>46183</v>
      </c>
      <c r="S270" s="30" t="s">
        <v>21</v>
      </c>
      <c r="T270" s="36">
        <v>269</v>
      </c>
      <c r="U270" s="30" t="s">
        <v>74</v>
      </c>
      <c r="V270" s="30" t="s">
        <v>73</v>
      </c>
    </row>
    <row r="271" spans="1:22" ht="210" x14ac:dyDescent="0.25">
      <c r="A271" s="30" t="s">
        <v>266</v>
      </c>
      <c r="B271" s="30" t="s">
        <v>177</v>
      </c>
      <c r="C271" s="30" t="s">
        <v>167</v>
      </c>
      <c r="D271" s="31" t="s">
        <v>267</v>
      </c>
      <c r="E271" s="30" t="s">
        <v>67</v>
      </c>
      <c r="F271" s="30" t="s">
        <v>18</v>
      </c>
      <c r="G271" s="31" t="s">
        <v>268</v>
      </c>
      <c r="H271" s="32">
        <v>0.01</v>
      </c>
      <c r="I271" s="31"/>
      <c r="J271" s="33">
        <v>46174</v>
      </c>
      <c r="K271" s="32">
        <v>9.8799999999999999E-2</v>
      </c>
      <c r="L271" s="32">
        <v>0.97840000000000005</v>
      </c>
      <c r="M271" s="32">
        <v>0.97840000000000005</v>
      </c>
      <c r="N271" s="31" t="s">
        <v>274</v>
      </c>
      <c r="O271" s="34">
        <v>46220.81355324074</v>
      </c>
      <c r="P271" s="35" t="s">
        <v>109</v>
      </c>
      <c r="Q271" s="35" t="s">
        <v>79</v>
      </c>
      <c r="R271" s="33">
        <v>46214</v>
      </c>
      <c r="S271" s="30" t="s">
        <v>21</v>
      </c>
      <c r="T271" s="36">
        <v>270</v>
      </c>
      <c r="U271" s="30" t="s">
        <v>74</v>
      </c>
      <c r="V271" s="30" t="s">
        <v>73</v>
      </c>
    </row>
    <row r="272" spans="1:22" ht="30" x14ac:dyDescent="0.25">
      <c r="A272" s="30" t="s">
        <v>266</v>
      </c>
      <c r="B272" s="30" t="s">
        <v>177</v>
      </c>
      <c r="C272" s="30" t="s">
        <v>167</v>
      </c>
      <c r="D272" s="31" t="s">
        <v>267</v>
      </c>
      <c r="E272" s="30" t="s">
        <v>67</v>
      </c>
      <c r="F272" s="30" t="s">
        <v>18</v>
      </c>
      <c r="G272" s="31" t="s">
        <v>268</v>
      </c>
      <c r="H272" s="32">
        <v>1.4999999999999999E-2</v>
      </c>
      <c r="I272" s="31"/>
      <c r="J272" s="33">
        <v>46204</v>
      </c>
      <c r="K272" s="32">
        <v>0</v>
      </c>
      <c r="L272" s="32"/>
      <c r="M272" s="32">
        <v>0</v>
      </c>
      <c r="N272" s="31"/>
      <c r="O272" s="34">
        <v>46220.813831018517</v>
      </c>
      <c r="P272" s="35" t="s">
        <v>109</v>
      </c>
      <c r="Q272" s="35" t="s">
        <v>79</v>
      </c>
      <c r="R272" s="33">
        <v>46244</v>
      </c>
      <c r="S272" s="30" t="s">
        <v>21</v>
      </c>
      <c r="T272" s="36">
        <v>271</v>
      </c>
      <c r="U272" s="30" t="s">
        <v>74</v>
      </c>
      <c r="V272" s="30" t="s">
        <v>73</v>
      </c>
    </row>
    <row r="273" spans="1:22" ht="30" x14ac:dyDescent="0.25">
      <c r="A273" s="30" t="s">
        <v>266</v>
      </c>
      <c r="B273" s="30" t="s">
        <v>177</v>
      </c>
      <c r="C273" s="30" t="s">
        <v>167</v>
      </c>
      <c r="D273" s="31" t="s">
        <v>267</v>
      </c>
      <c r="E273" s="30" t="s">
        <v>67</v>
      </c>
      <c r="F273" s="30" t="s">
        <v>18</v>
      </c>
      <c r="G273" s="31" t="s">
        <v>268</v>
      </c>
      <c r="H273" s="32">
        <v>1.4999999999999999E-2</v>
      </c>
      <c r="I273" s="31"/>
      <c r="J273" s="33">
        <v>46235</v>
      </c>
      <c r="K273" s="32">
        <v>0</v>
      </c>
      <c r="L273" s="32"/>
      <c r="M273" s="32">
        <v>0</v>
      </c>
      <c r="N273" s="31"/>
      <c r="O273" s="34">
        <v>46220.81391203704</v>
      </c>
      <c r="P273" s="35" t="s">
        <v>109</v>
      </c>
      <c r="Q273" s="35" t="s">
        <v>79</v>
      </c>
      <c r="R273" s="33">
        <v>46275</v>
      </c>
      <c r="S273" s="30" t="s">
        <v>21</v>
      </c>
      <c r="T273" s="36">
        <v>272</v>
      </c>
      <c r="U273" s="30" t="s">
        <v>74</v>
      </c>
      <c r="V273" s="30" t="s">
        <v>73</v>
      </c>
    </row>
    <row r="274" spans="1:22" ht="30" x14ac:dyDescent="0.25">
      <c r="A274" s="30" t="s">
        <v>266</v>
      </c>
      <c r="B274" s="30" t="s">
        <v>177</v>
      </c>
      <c r="C274" s="30" t="s">
        <v>167</v>
      </c>
      <c r="D274" s="31" t="s">
        <v>267</v>
      </c>
      <c r="E274" s="30" t="s">
        <v>67</v>
      </c>
      <c r="F274" s="30" t="s">
        <v>18</v>
      </c>
      <c r="G274" s="31" t="s">
        <v>268</v>
      </c>
      <c r="H274" s="32">
        <v>1.4999999999999999E-2</v>
      </c>
      <c r="I274" s="31"/>
      <c r="J274" s="33">
        <v>46266</v>
      </c>
      <c r="K274" s="32">
        <v>0</v>
      </c>
      <c r="L274" s="32"/>
      <c r="M274" s="32">
        <v>0</v>
      </c>
      <c r="N274" s="31"/>
      <c r="O274" s="34">
        <v>46220.813969907409</v>
      </c>
      <c r="P274" s="35" t="s">
        <v>109</v>
      </c>
      <c r="Q274" s="35" t="s">
        <v>79</v>
      </c>
      <c r="R274" s="33">
        <v>46306</v>
      </c>
      <c r="S274" s="30" t="s">
        <v>21</v>
      </c>
      <c r="T274" s="36">
        <v>273</v>
      </c>
      <c r="U274" s="30" t="s">
        <v>74</v>
      </c>
      <c r="V274" s="30" t="s">
        <v>73</v>
      </c>
    </row>
    <row r="275" spans="1:22" ht="30" x14ac:dyDescent="0.25">
      <c r="A275" s="30" t="s">
        <v>266</v>
      </c>
      <c r="B275" s="30" t="s">
        <v>177</v>
      </c>
      <c r="C275" s="30" t="s">
        <v>167</v>
      </c>
      <c r="D275" s="31" t="s">
        <v>267</v>
      </c>
      <c r="E275" s="30" t="s">
        <v>67</v>
      </c>
      <c r="F275" s="30" t="s">
        <v>18</v>
      </c>
      <c r="G275" s="31" t="s">
        <v>268</v>
      </c>
      <c r="H275" s="32">
        <v>0.02</v>
      </c>
      <c r="I275" s="31"/>
      <c r="J275" s="33">
        <v>46296</v>
      </c>
      <c r="K275" s="32">
        <v>0</v>
      </c>
      <c r="L275" s="32"/>
      <c r="M275" s="32">
        <v>0</v>
      </c>
      <c r="N275" s="31"/>
      <c r="O275" s="34">
        <v>46119.739016203705</v>
      </c>
      <c r="P275" s="35" t="s">
        <v>72</v>
      </c>
      <c r="Q275" s="35" t="s">
        <v>79</v>
      </c>
      <c r="R275" s="33">
        <v>46336</v>
      </c>
      <c r="S275" s="30" t="s">
        <v>21</v>
      </c>
      <c r="T275" s="36">
        <v>274</v>
      </c>
      <c r="U275" s="30" t="s">
        <v>74</v>
      </c>
      <c r="V275" s="30" t="s">
        <v>73</v>
      </c>
    </row>
    <row r="276" spans="1:22" ht="30" x14ac:dyDescent="0.25">
      <c r="A276" s="30" t="s">
        <v>266</v>
      </c>
      <c r="B276" s="30" t="s">
        <v>177</v>
      </c>
      <c r="C276" s="30" t="s">
        <v>167</v>
      </c>
      <c r="D276" s="31" t="s">
        <v>267</v>
      </c>
      <c r="E276" s="30" t="s">
        <v>67</v>
      </c>
      <c r="F276" s="30" t="s">
        <v>18</v>
      </c>
      <c r="G276" s="31" t="s">
        <v>268</v>
      </c>
      <c r="H276" s="32">
        <v>0.02</v>
      </c>
      <c r="I276" s="31"/>
      <c r="J276" s="33">
        <v>46327</v>
      </c>
      <c r="K276" s="32">
        <v>0</v>
      </c>
      <c r="L276" s="32"/>
      <c r="M276" s="32">
        <v>0</v>
      </c>
      <c r="N276" s="31"/>
      <c r="O276" s="34">
        <v>46119.739085648151</v>
      </c>
      <c r="P276" s="35" t="s">
        <v>72</v>
      </c>
      <c r="Q276" s="35" t="s">
        <v>79</v>
      </c>
      <c r="R276" s="33">
        <v>46367</v>
      </c>
      <c r="S276" s="30" t="s">
        <v>21</v>
      </c>
      <c r="T276" s="36">
        <v>275</v>
      </c>
      <c r="U276" s="30" t="s">
        <v>74</v>
      </c>
      <c r="V276" s="30" t="s">
        <v>73</v>
      </c>
    </row>
    <row r="277" spans="1:22" ht="30" x14ac:dyDescent="0.25">
      <c r="A277" s="30" t="s">
        <v>266</v>
      </c>
      <c r="B277" s="30" t="s">
        <v>177</v>
      </c>
      <c r="C277" s="30" t="s">
        <v>167</v>
      </c>
      <c r="D277" s="31" t="s">
        <v>267</v>
      </c>
      <c r="E277" s="30" t="s">
        <v>67</v>
      </c>
      <c r="F277" s="30" t="s">
        <v>18</v>
      </c>
      <c r="G277" s="31" t="s">
        <v>268</v>
      </c>
      <c r="H277" s="32">
        <v>0.02</v>
      </c>
      <c r="I277" s="31"/>
      <c r="J277" s="33">
        <v>46357</v>
      </c>
      <c r="K277" s="32">
        <v>0</v>
      </c>
      <c r="L277" s="32"/>
      <c r="M277" s="32">
        <v>0</v>
      </c>
      <c r="N277" s="31"/>
      <c r="O277" s="34">
        <v>46100.749942129631</v>
      </c>
      <c r="P277" s="35" t="s">
        <v>72</v>
      </c>
      <c r="Q277" s="35" t="s">
        <v>79</v>
      </c>
      <c r="R277" s="33">
        <v>46397</v>
      </c>
      <c r="S277" s="30" t="s">
        <v>21</v>
      </c>
      <c r="T277" s="36">
        <v>276</v>
      </c>
      <c r="U277" s="30" t="s">
        <v>74</v>
      </c>
      <c r="V277" s="30" t="s">
        <v>73</v>
      </c>
    </row>
    <row r="278" spans="1:22" x14ac:dyDescent="0.25">
      <c r="A278" s="30" t="s">
        <v>275</v>
      </c>
      <c r="B278" s="30" t="s">
        <v>276</v>
      </c>
      <c r="C278" s="30" t="s">
        <v>277</v>
      </c>
      <c r="D278" s="31" t="s">
        <v>276</v>
      </c>
      <c r="E278" s="30" t="s">
        <v>278</v>
      </c>
      <c r="F278" s="30" t="s">
        <v>278</v>
      </c>
      <c r="G278" s="31" t="s">
        <v>276</v>
      </c>
      <c r="H278" s="32">
        <v>0</v>
      </c>
      <c r="I278" s="31"/>
      <c r="J278" s="33">
        <v>46023</v>
      </c>
      <c r="K278" s="32">
        <v>0.14000000000000001</v>
      </c>
      <c r="L278" s="32">
        <v>1</v>
      </c>
      <c r="M278" s="32">
        <v>1</v>
      </c>
      <c r="N278" s="31" t="s">
        <v>275</v>
      </c>
      <c r="O278" s="34">
        <v>46126.576006944444</v>
      </c>
      <c r="P278" s="35" t="s">
        <v>72</v>
      </c>
      <c r="Q278" s="35" t="s">
        <v>70</v>
      </c>
      <c r="R278" s="33"/>
      <c r="S278" s="30"/>
      <c r="T278" s="36">
        <v>278</v>
      </c>
      <c r="U278" s="30" t="s">
        <v>74</v>
      </c>
      <c r="V278" s="30" t="s">
        <v>73</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71F5-C2CF-48ED-AC7E-EFFE6A461FEF}">
  <dimension ref="A1:V278"/>
  <sheetViews>
    <sheetView tabSelected="1" topLeftCell="I1" workbookViewId="0"/>
  </sheetViews>
  <sheetFormatPr defaultRowHeight="15" x14ac:dyDescent="0.25"/>
  <cols>
    <col min="1" max="1" width="80.7109375" bestFit="1" customWidth="1"/>
    <col min="2" max="2" width="27.140625" bestFit="1" customWidth="1"/>
    <col min="3" max="3" width="24.5703125" bestFit="1" customWidth="1"/>
    <col min="4" max="4" width="80.7109375" bestFit="1" customWidth="1"/>
    <col min="5" max="5" width="19.42578125" bestFit="1" customWidth="1"/>
    <col min="6" max="6" width="21.5703125" bestFit="1" customWidth="1"/>
    <col min="7" max="7" width="59.5703125" bestFit="1" customWidth="1"/>
    <col min="8" max="8" width="13.5703125" bestFit="1" customWidth="1"/>
    <col min="9" max="9" width="24.140625" bestFit="1" customWidth="1"/>
    <col min="10" max="10" width="16.42578125" bestFit="1" customWidth="1"/>
    <col min="11" max="12" width="11.85546875" bestFit="1" customWidth="1"/>
    <col min="13" max="13" width="17.42578125" bestFit="1" customWidth="1"/>
    <col min="14" max="14" width="80.7109375" bestFit="1" customWidth="1"/>
    <col min="15" max="15" width="15.140625" bestFit="1" customWidth="1"/>
    <col min="16" max="16" width="26.42578125" bestFit="1" customWidth="1"/>
    <col min="17" max="17" width="21.42578125" bestFit="1" customWidth="1"/>
    <col min="18" max="18" width="12.85546875" bestFit="1" customWidth="1"/>
    <col min="19" max="19" width="19.42578125" bestFit="1" customWidth="1"/>
    <col min="20" max="20" width="4.85546875" bestFit="1" customWidth="1"/>
    <col min="21" max="21" width="13.28515625" bestFit="1" customWidth="1"/>
    <col min="22" max="22" width="31.5703125" bestFit="1" customWidth="1"/>
  </cols>
  <sheetData>
    <row r="1" spans="1:22" x14ac:dyDescent="0.25">
      <c r="A1" t="s">
        <v>44</v>
      </c>
      <c r="B1" t="s">
        <v>45</v>
      </c>
      <c r="C1" t="s">
        <v>46</v>
      </c>
      <c r="D1" t="s">
        <v>47</v>
      </c>
      <c r="E1" t="s">
        <v>48</v>
      </c>
      <c r="F1" t="s">
        <v>55</v>
      </c>
      <c r="G1" t="s">
        <v>49</v>
      </c>
      <c r="H1" t="s">
        <v>50</v>
      </c>
      <c r="I1" t="s">
        <v>57</v>
      </c>
      <c r="J1" t="s">
        <v>51</v>
      </c>
      <c r="K1" t="s">
        <v>5</v>
      </c>
      <c r="L1" t="s">
        <v>6</v>
      </c>
      <c r="M1" t="s">
        <v>56</v>
      </c>
      <c r="N1" t="s">
        <v>52</v>
      </c>
      <c r="O1" t="s">
        <v>59</v>
      </c>
      <c r="P1" t="s">
        <v>60</v>
      </c>
      <c r="Q1" t="s">
        <v>53</v>
      </c>
      <c r="R1" t="s">
        <v>54</v>
      </c>
      <c r="S1" t="s">
        <v>11</v>
      </c>
      <c r="T1" t="s">
        <v>58</v>
      </c>
      <c r="U1" t="s">
        <v>62</v>
      </c>
      <c r="V1" t="s">
        <v>61</v>
      </c>
    </row>
    <row r="2" spans="1:22" ht="135" hidden="1" x14ac:dyDescent="0.25">
      <c r="A2" s="30" t="s">
        <v>63</v>
      </c>
      <c r="B2" s="30" t="s">
        <v>64</v>
      </c>
      <c r="C2" s="30" t="s">
        <v>65</v>
      </c>
      <c r="D2" s="31" t="s">
        <v>66</v>
      </c>
      <c r="E2" s="30" t="s">
        <v>67</v>
      </c>
      <c r="F2" s="30" t="s">
        <v>18</v>
      </c>
      <c r="G2" s="31" t="s">
        <v>68</v>
      </c>
      <c r="H2" s="32">
        <v>0.1</v>
      </c>
      <c r="I2" s="31" t="s">
        <v>71</v>
      </c>
      <c r="J2" s="33">
        <v>46023</v>
      </c>
      <c r="K2" s="32">
        <v>0.25669999999999998</v>
      </c>
      <c r="L2" s="32">
        <v>2.5670000000000002</v>
      </c>
      <c r="M2" s="32">
        <v>1</v>
      </c>
      <c r="N2" s="31" t="s">
        <v>69</v>
      </c>
      <c r="O2" s="34">
        <v>46135.788055555553</v>
      </c>
      <c r="P2" s="35" t="s">
        <v>72</v>
      </c>
      <c r="Q2" s="35" t="s">
        <v>70</v>
      </c>
      <c r="R2" s="33">
        <v>46063</v>
      </c>
      <c r="S2" s="30" t="s">
        <v>21</v>
      </c>
      <c r="T2" s="36">
        <v>1</v>
      </c>
      <c r="U2" s="30" t="s">
        <v>74</v>
      </c>
      <c r="V2" s="30" t="s">
        <v>73</v>
      </c>
    </row>
    <row r="3" spans="1:22" ht="120" hidden="1" x14ac:dyDescent="0.25">
      <c r="A3" s="30" t="s">
        <v>63</v>
      </c>
      <c r="B3" s="30" t="s">
        <v>64</v>
      </c>
      <c r="C3" s="30" t="s">
        <v>65</v>
      </c>
      <c r="D3" s="31" t="s">
        <v>66</v>
      </c>
      <c r="E3" s="30" t="s">
        <v>67</v>
      </c>
      <c r="F3" s="30" t="s">
        <v>18</v>
      </c>
      <c r="G3" s="31" t="s">
        <v>68</v>
      </c>
      <c r="H3" s="32">
        <v>0.1</v>
      </c>
      <c r="I3" s="31"/>
      <c r="J3" s="33">
        <v>46054</v>
      </c>
      <c r="K3" s="32">
        <v>0.2094</v>
      </c>
      <c r="L3" s="32">
        <v>2.0939999999999999</v>
      </c>
      <c r="M3" s="32">
        <v>1</v>
      </c>
      <c r="N3" s="31" t="s">
        <v>75</v>
      </c>
      <c r="O3" s="34">
        <v>46132.786770833336</v>
      </c>
      <c r="P3" s="35" t="s">
        <v>76</v>
      </c>
      <c r="Q3" s="35" t="s">
        <v>70</v>
      </c>
      <c r="R3" s="33">
        <v>46094</v>
      </c>
      <c r="S3" s="30" t="s">
        <v>21</v>
      </c>
      <c r="T3" s="36">
        <v>2</v>
      </c>
      <c r="U3" s="30" t="s">
        <v>74</v>
      </c>
      <c r="V3" s="30" t="s">
        <v>73</v>
      </c>
    </row>
    <row r="4" spans="1:22" ht="135" hidden="1" x14ac:dyDescent="0.25">
      <c r="A4" s="30" t="s">
        <v>63</v>
      </c>
      <c r="B4" s="30" t="s">
        <v>64</v>
      </c>
      <c r="C4" s="30" t="s">
        <v>65</v>
      </c>
      <c r="D4" s="31" t="s">
        <v>66</v>
      </c>
      <c r="E4" s="30" t="s">
        <v>67</v>
      </c>
      <c r="F4" s="30" t="s">
        <v>18</v>
      </c>
      <c r="G4" s="31" t="s">
        <v>68</v>
      </c>
      <c r="H4" s="32">
        <v>0.1</v>
      </c>
      <c r="I4" s="31"/>
      <c r="J4" s="33">
        <v>46082</v>
      </c>
      <c r="K4" s="32">
        <v>0.23019999999999999</v>
      </c>
      <c r="L4" s="32">
        <v>2.302</v>
      </c>
      <c r="M4" s="32">
        <v>1</v>
      </c>
      <c r="N4" s="31" t="s">
        <v>77</v>
      </c>
      <c r="O4" s="34">
        <v>46132.787118055552</v>
      </c>
      <c r="P4" s="35" t="s">
        <v>76</v>
      </c>
      <c r="Q4" s="35" t="s">
        <v>70</v>
      </c>
      <c r="R4" s="33">
        <v>46122</v>
      </c>
      <c r="S4" s="30" t="s">
        <v>21</v>
      </c>
      <c r="T4" s="36">
        <v>3</v>
      </c>
      <c r="U4" s="30" t="s">
        <v>74</v>
      </c>
      <c r="V4" s="30" t="s">
        <v>73</v>
      </c>
    </row>
    <row r="5" spans="1:22" ht="75" hidden="1" x14ac:dyDescent="0.25">
      <c r="A5" s="30" t="s">
        <v>63</v>
      </c>
      <c r="B5" s="30" t="s">
        <v>64</v>
      </c>
      <c r="C5" s="30" t="s">
        <v>65</v>
      </c>
      <c r="D5" s="31" t="s">
        <v>66</v>
      </c>
      <c r="E5" s="30" t="s">
        <v>67</v>
      </c>
      <c r="F5" s="30" t="s">
        <v>18</v>
      </c>
      <c r="G5" s="31" t="s">
        <v>68</v>
      </c>
      <c r="H5" s="32">
        <v>0.1</v>
      </c>
      <c r="I5" s="31"/>
      <c r="J5" s="33">
        <v>46113</v>
      </c>
      <c r="K5" s="32">
        <v>0.46870000000000001</v>
      </c>
      <c r="L5" s="32">
        <v>4.6870000000000003</v>
      </c>
      <c r="M5" s="32">
        <v>1</v>
      </c>
      <c r="N5" s="31" t="s">
        <v>78</v>
      </c>
      <c r="O5" s="34">
        <v>46219.824050925927</v>
      </c>
      <c r="P5" s="35" t="s">
        <v>76</v>
      </c>
      <c r="Q5" s="35" t="s">
        <v>79</v>
      </c>
      <c r="R5" s="33">
        <v>46153</v>
      </c>
      <c r="S5" s="30" t="s">
        <v>21</v>
      </c>
      <c r="T5" s="36">
        <v>4</v>
      </c>
      <c r="U5" s="30" t="s">
        <v>74</v>
      </c>
      <c r="V5" s="30" t="s">
        <v>73</v>
      </c>
    </row>
    <row r="6" spans="1:22" ht="75" hidden="1" x14ac:dyDescent="0.25">
      <c r="A6" s="30" t="s">
        <v>63</v>
      </c>
      <c r="B6" s="30" t="s">
        <v>64</v>
      </c>
      <c r="C6" s="30" t="s">
        <v>65</v>
      </c>
      <c r="D6" s="31" t="s">
        <v>66</v>
      </c>
      <c r="E6" s="30" t="s">
        <v>67</v>
      </c>
      <c r="F6" s="30" t="s">
        <v>18</v>
      </c>
      <c r="G6" s="31" t="s">
        <v>68</v>
      </c>
      <c r="H6" s="32">
        <v>0.1</v>
      </c>
      <c r="I6" s="31"/>
      <c r="J6" s="33">
        <v>46143</v>
      </c>
      <c r="K6" s="32">
        <v>0.28079999999999999</v>
      </c>
      <c r="L6" s="32">
        <v>2.8079999999999998</v>
      </c>
      <c r="M6" s="32">
        <v>1</v>
      </c>
      <c r="N6" s="31" t="s">
        <v>78</v>
      </c>
      <c r="O6" s="34">
        <v>46219.823622685188</v>
      </c>
      <c r="P6" s="35" t="s">
        <v>76</v>
      </c>
      <c r="Q6" s="35" t="s">
        <v>79</v>
      </c>
      <c r="R6" s="33">
        <v>46183</v>
      </c>
      <c r="S6" s="30" t="s">
        <v>21</v>
      </c>
      <c r="T6" s="36">
        <v>5</v>
      </c>
      <c r="U6" s="30" t="s">
        <v>74</v>
      </c>
      <c r="V6" s="30" t="s">
        <v>73</v>
      </c>
    </row>
    <row r="7" spans="1:22" ht="105" hidden="1" x14ac:dyDescent="0.25">
      <c r="A7" s="30" t="s">
        <v>63</v>
      </c>
      <c r="B7" s="30" t="s">
        <v>64</v>
      </c>
      <c r="C7" s="30" t="s">
        <v>65</v>
      </c>
      <c r="D7" s="31" t="s">
        <v>66</v>
      </c>
      <c r="E7" s="30" t="s">
        <v>67</v>
      </c>
      <c r="F7" s="30" t="s">
        <v>18</v>
      </c>
      <c r="G7" s="31" t="s">
        <v>68</v>
      </c>
      <c r="H7" s="32">
        <v>0.1</v>
      </c>
      <c r="I7" s="31"/>
      <c r="J7" s="33">
        <v>46174</v>
      </c>
      <c r="K7" s="32">
        <v>0.78580000000000005</v>
      </c>
      <c r="L7" s="32">
        <v>7.8579999999999997</v>
      </c>
      <c r="M7" s="32">
        <v>1</v>
      </c>
      <c r="N7" s="31" t="s">
        <v>80</v>
      </c>
      <c r="O7" s="34">
        <v>46219.82472222222</v>
      </c>
      <c r="P7" s="35" t="s">
        <v>76</v>
      </c>
      <c r="Q7" s="35" t="s">
        <v>79</v>
      </c>
      <c r="R7" s="33">
        <v>46214</v>
      </c>
      <c r="S7" s="30" t="s">
        <v>21</v>
      </c>
      <c r="T7" s="36">
        <v>6</v>
      </c>
      <c r="U7" s="30" t="s">
        <v>74</v>
      </c>
      <c r="V7" s="30" t="s">
        <v>73</v>
      </c>
    </row>
    <row r="8" spans="1:22" ht="30" hidden="1" x14ac:dyDescent="0.25">
      <c r="A8" s="30" t="s">
        <v>63</v>
      </c>
      <c r="B8" s="30" t="s">
        <v>64</v>
      </c>
      <c r="C8" s="30" t="s">
        <v>65</v>
      </c>
      <c r="D8" s="31" t="s">
        <v>66</v>
      </c>
      <c r="E8" s="30" t="s">
        <v>67</v>
      </c>
      <c r="F8" s="30" t="s">
        <v>18</v>
      </c>
      <c r="G8" s="31" t="s">
        <v>68</v>
      </c>
      <c r="H8" s="32">
        <v>0.1</v>
      </c>
      <c r="I8" s="31"/>
      <c r="J8" s="33">
        <v>46204</v>
      </c>
      <c r="K8" s="32">
        <v>0</v>
      </c>
      <c r="L8" s="32"/>
      <c r="M8" s="32">
        <v>0</v>
      </c>
      <c r="N8" s="31"/>
      <c r="O8" s="34">
        <v>46104.645613425928</v>
      </c>
      <c r="P8" s="35" t="s">
        <v>72</v>
      </c>
      <c r="Q8" s="35" t="s">
        <v>79</v>
      </c>
      <c r="R8" s="33">
        <v>46244</v>
      </c>
      <c r="S8" s="30" t="s">
        <v>21</v>
      </c>
      <c r="T8" s="36">
        <v>7</v>
      </c>
      <c r="U8" s="30" t="s">
        <v>74</v>
      </c>
      <c r="V8" s="30" t="s">
        <v>73</v>
      </c>
    </row>
    <row r="9" spans="1:22" ht="30" hidden="1" x14ac:dyDescent="0.25">
      <c r="A9" s="30" t="s">
        <v>63</v>
      </c>
      <c r="B9" s="30" t="s">
        <v>64</v>
      </c>
      <c r="C9" s="30" t="s">
        <v>65</v>
      </c>
      <c r="D9" s="31" t="s">
        <v>66</v>
      </c>
      <c r="E9" s="30" t="s">
        <v>67</v>
      </c>
      <c r="F9" s="30" t="s">
        <v>18</v>
      </c>
      <c r="G9" s="31" t="s">
        <v>68</v>
      </c>
      <c r="H9" s="32">
        <v>0.1</v>
      </c>
      <c r="I9" s="31"/>
      <c r="J9" s="33">
        <v>46235</v>
      </c>
      <c r="K9" s="32">
        <v>0</v>
      </c>
      <c r="L9" s="32"/>
      <c r="M9" s="32">
        <v>0</v>
      </c>
      <c r="N9" s="31"/>
      <c r="O9" s="34">
        <v>46104.64565972222</v>
      </c>
      <c r="P9" s="35" t="s">
        <v>72</v>
      </c>
      <c r="Q9" s="35" t="s">
        <v>79</v>
      </c>
      <c r="R9" s="33">
        <v>46275</v>
      </c>
      <c r="S9" s="30" t="s">
        <v>21</v>
      </c>
      <c r="T9" s="36">
        <v>8</v>
      </c>
      <c r="U9" s="30" t="s">
        <v>74</v>
      </c>
      <c r="V9" s="30" t="s">
        <v>73</v>
      </c>
    </row>
    <row r="10" spans="1:22" ht="30" hidden="1" x14ac:dyDescent="0.25">
      <c r="A10" s="30" t="s">
        <v>63</v>
      </c>
      <c r="B10" s="30" t="s">
        <v>64</v>
      </c>
      <c r="C10" s="30" t="s">
        <v>65</v>
      </c>
      <c r="D10" s="31" t="s">
        <v>66</v>
      </c>
      <c r="E10" s="30" t="s">
        <v>67</v>
      </c>
      <c r="F10" s="30" t="s">
        <v>18</v>
      </c>
      <c r="G10" s="31" t="s">
        <v>68</v>
      </c>
      <c r="H10" s="32">
        <v>0.1</v>
      </c>
      <c r="I10" s="31"/>
      <c r="J10" s="33">
        <v>46266</v>
      </c>
      <c r="K10" s="32">
        <v>0</v>
      </c>
      <c r="L10" s="32"/>
      <c r="M10" s="32">
        <v>0</v>
      </c>
      <c r="N10" s="31"/>
      <c r="O10" s="34">
        <v>46104.64565972222</v>
      </c>
      <c r="P10" s="35" t="s">
        <v>72</v>
      </c>
      <c r="Q10" s="35" t="s">
        <v>79</v>
      </c>
      <c r="R10" s="33">
        <v>46306</v>
      </c>
      <c r="S10" s="30" t="s">
        <v>21</v>
      </c>
      <c r="T10" s="36">
        <v>9</v>
      </c>
      <c r="U10" s="30" t="s">
        <v>74</v>
      </c>
      <c r="V10" s="30" t="s">
        <v>73</v>
      </c>
    </row>
    <row r="11" spans="1:22" ht="30" hidden="1" x14ac:dyDescent="0.25">
      <c r="A11" s="30" t="s">
        <v>63</v>
      </c>
      <c r="B11" s="30" t="s">
        <v>64</v>
      </c>
      <c r="C11" s="30" t="s">
        <v>65</v>
      </c>
      <c r="D11" s="31" t="s">
        <v>66</v>
      </c>
      <c r="E11" s="30" t="s">
        <v>67</v>
      </c>
      <c r="F11" s="30" t="s">
        <v>18</v>
      </c>
      <c r="G11" s="31" t="s">
        <v>68</v>
      </c>
      <c r="H11" s="32">
        <v>0.1</v>
      </c>
      <c r="I11" s="31"/>
      <c r="J11" s="33">
        <v>46296</v>
      </c>
      <c r="K11" s="32">
        <v>0</v>
      </c>
      <c r="L11" s="32"/>
      <c r="M11" s="32">
        <v>0</v>
      </c>
      <c r="N11" s="31"/>
      <c r="O11" s="34">
        <v>46104.64565972222</v>
      </c>
      <c r="P11" s="35" t="s">
        <v>72</v>
      </c>
      <c r="Q11" s="35" t="s">
        <v>79</v>
      </c>
      <c r="R11" s="33">
        <v>46336</v>
      </c>
      <c r="S11" s="30" t="s">
        <v>21</v>
      </c>
      <c r="T11" s="36">
        <v>10</v>
      </c>
      <c r="U11" s="30" t="s">
        <v>74</v>
      </c>
      <c r="V11" s="30" t="s">
        <v>73</v>
      </c>
    </row>
    <row r="12" spans="1:22" ht="30" hidden="1" x14ac:dyDescent="0.25">
      <c r="A12" s="30" t="s">
        <v>63</v>
      </c>
      <c r="B12" s="30" t="s">
        <v>64</v>
      </c>
      <c r="C12" s="30" t="s">
        <v>65</v>
      </c>
      <c r="D12" s="31" t="s">
        <v>66</v>
      </c>
      <c r="E12" s="30" t="s">
        <v>67</v>
      </c>
      <c r="F12" s="30" t="s">
        <v>18</v>
      </c>
      <c r="G12" s="31" t="s">
        <v>68</v>
      </c>
      <c r="H12" s="32">
        <v>0.1</v>
      </c>
      <c r="I12" s="31"/>
      <c r="J12" s="33">
        <v>46327</v>
      </c>
      <c r="K12" s="32">
        <v>0</v>
      </c>
      <c r="L12" s="32"/>
      <c r="M12" s="32">
        <v>0</v>
      </c>
      <c r="N12" s="31"/>
      <c r="O12" s="34">
        <v>46104.64565972222</v>
      </c>
      <c r="P12" s="35" t="s">
        <v>72</v>
      </c>
      <c r="Q12" s="35" t="s">
        <v>79</v>
      </c>
      <c r="R12" s="33">
        <v>46367</v>
      </c>
      <c r="S12" s="30" t="s">
        <v>21</v>
      </c>
      <c r="T12" s="36">
        <v>11</v>
      </c>
      <c r="U12" s="30" t="s">
        <v>74</v>
      </c>
      <c r="V12" s="30" t="s">
        <v>73</v>
      </c>
    </row>
    <row r="13" spans="1:22" ht="30" hidden="1" x14ac:dyDescent="0.25">
      <c r="A13" s="30" t="s">
        <v>63</v>
      </c>
      <c r="B13" s="30" t="s">
        <v>64</v>
      </c>
      <c r="C13" s="30" t="s">
        <v>65</v>
      </c>
      <c r="D13" s="31" t="s">
        <v>66</v>
      </c>
      <c r="E13" s="30" t="s">
        <v>67</v>
      </c>
      <c r="F13" s="30" t="s">
        <v>18</v>
      </c>
      <c r="G13" s="31" t="s">
        <v>68</v>
      </c>
      <c r="H13" s="32">
        <v>0.1</v>
      </c>
      <c r="I13" s="31"/>
      <c r="J13" s="33">
        <v>46357</v>
      </c>
      <c r="K13" s="32">
        <v>0</v>
      </c>
      <c r="L13" s="32"/>
      <c r="M13" s="32">
        <v>0</v>
      </c>
      <c r="N13" s="31"/>
      <c r="O13" s="34">
        <v>46104.645682870374</v>
      </c>
      <c r="P13" s="35" t="s">
        <v>72</v>
      </c>
      <c r="Q13" s="35" t="s">
        <v>79</v>
      </c>
      <c r="R13" s="33">
        <v>46397</v>
      </c>
      <c r="S13" s="30" t="s">
        <v>21</v>
      </c>
      <c r="T13" s="36">
        <v>12</v>
      </c>
      <c r="U13" s="30" t="s">
        <v>74</v>
      </c>
      <c r="V13" s="30" t="s">
        <v>73</v>
      </c>
    </row>
    <row r="14" spans="1:22" ht="150" hidden="1" x14ac:dyDescent="0.25">
      <c r="A14" s="30" t="s">
        <v>81</v>
      </c>
      <c r="B14" s="30" t="s">
        <v>64</v>
      </c>
      <c r="C14" s="30" t="s">
        <v>65</v>
      </c>
      <c r="D14" s="31" t="s">
        <v>82</v>
      </c>
      <c r="E14" s="30" t="s">
        <v>67</v>
      </c>
      <c r="F14" s="30" t="s">
        <v>18</v>
      </c>
      <c r="G14" s="31" t="s">
        <v>83</v>
      </c>
      <c r="H14" s="32">
        <v>58</v>
      </c>
      <c r="I14" s="31"/>
      <c r="J14" s="33">
        <v>46023</v>
      </c>
      <c r="K14" s="32">
        <v>55</v>
      </c>
      <c r="L14" s="32">
        <v>0.94827586206896597</v>
      </c>
      <c r="M14" s="32">
        <v>0.94827586206896597</v>
      </c>
      <c r="N14" s="31" t="s">
        <v>84</v>
      </c>
      <c r="O14" s="34">
        <v>46132.796423611115</v>
      </c>
      <c r="P14" s="35" t="s">
        <v>76</v>
      </c>
      <c r="Q14" s="35" t="s">
        <v>70</v>
      </c>
      <c r="R14" s="33">
        <v>46063</v>
      </c>
      <c r="S14" s="30" t="s">
        <v>85</v>
      </c>
      <c r="T14" s="36">
        <v>13</v>
      </c>
      <c r="U14" s="30" t="s">
        <v>74</v>
      </c>
      <c r="V14" s="30" t="s">
        <v>73</v>
      </c>
    </row>
    <row r="15" spans="1:22" ht="150" hidden="1" x14ac:dyDescent="0.25">
      <c r="A15" s="30" t="s">
        <v>81</v>
      </c>
      <c r="B15" s="30" t="s">
        <v>64</v>
      </c>
      <c r="C15" s="30" t="s">
        <v>65</v>
      </c>
      <c r="D15" s="31" t="s">
        <v>82</v>
      </c>
      <c r="E15" s="30" t="s">
        <v>67</v>
      </c>
      <c r="F15" s="30" t="s">
        <v>18</v>
      </c>
      <c r="G15" s="31" t="s">
        <v>83</v>
      </c>
      <c r="H15" s="32">
        <v>58</v>
      </c>
      <c r="I15" s="31"/>
      <c r="J15" s="33">
        <v>46054</v>
      </c>
      <c r="K15" s="32">
        <v>55</v>
      </c>
      <c r="L15" s="32">
        <v>0.94827586206896597</v>
      </c>
      <c r="M15" s="32">
        <v>0.94827586206896597</v>
      </c>
      <c r="N15" s="31" t="s">
        <v>84</v>
      </c>
      <c r="O15" s="34">
        <v>46132.7968287037</v>
      </c>
      <c r="P15" s="35" t="s">
        <v>76</v>
      </c>
      <c r="Q15" s="35" t="s">
        <v>70</v>
      </c>
      <c r="R15" s="33">
        <v>46094</v>
      </c>
      <c r="S15" s="30" t="s">
        <v>85</v>
      </c>
      <c r="T15" s="36">
        <v>14</v>
      </c>
      <c r="U15" s="30" t="s">
        <v>74</v>
      </c>
      <c r="V15" s="30" t="s">
        <v>73</v>
      </c>
    </row>
    <row r="16" spans="1:22" ht="225" hidden="1" x14ac:dyDescent="0.25">
      <c r="A16" s="30" t="s">
        <v>81</v>
      </c>
      <c r="B16" s="30" t="s">
        <v>64</v>
      </c>
      <c r="C16" s="30" t="s">
        <v>65</v>
      </c>
      <c r="D16" s="31" t="s">
        <v>82</v>
      </c>
      <c r="E16" s="30" t="s">
        <v>67</v>
      </c>
      <c r="F16" s="30" t="s">
        <v>18</v>
      </c>
      <c r="G16" s="31" t="s">
        <v>83</v>
      </c>
      <c r="H16" s="32">
        <v>58</v>
      </c>
      <c r="I16" s="31"/>
      <c r="J16" s="33">
        <v>46082</v>
      </c>
      <c r="K16" s="32">
        <v>55</v>
      </c>
      <c r="L16" s="32">
        <v>0.94830000000000003</v>
      </c>
      <c r="M16" s="32">
        <v>0.94830000000000003</v>
      </c>
      <c r="N16" s="31" t="s">
        <v>86</v>
      </c>
      <c r="O16" s="34">
        <v>46129.694062499999</v>
      </c>
      <c r="P16" s="35" t="s">
        <v>87</v>
      </c>
      <c r="Q16" s="35" t="s">
        <v>70</v>
      </c>
      <c r="R16" s="33">
        <v>46122</v>
      </c>
      <c r="S16" s="30" t="s">
        <v>85</v>
      </c>
      <c r="T16" s="36">
        <v>15</v>
      </c>
      <c r="U16" s="30" t="s">
        <v>74</v>
      </c>
      <c r="V16" s="30" t="s">
        <v>73</v>
      </c>
    </row>
    <row r="17" spans="1:22" ht="195" hidden="1" x14ac:dyDescent="0.25">
      <c r="A17" s="30" t="s">
        <v>81</v>
      </c>
      <c r="B17" s="30" t="s">
        <v>64</v>
      </c>
      <c r="C17" s="30" t="s">
        <v>65</v>
      </c>
      <c r="D17" s="31" t="s">
        <v>82</v>
      </c>
      <c r="E17" s="30" t="s">
        <v>67</v>
      </c>
      <c r="F17" s="30" t="s">
        <v>18</v>
      </c>
      <c r="G17" s="31" t="s">
        <v>83</v>
      </c>
      <c r="H17" s="32">
        <v>58.33</v>
      </c>
      <c r="I17" s="31"/>
      <c r="J17" s="33">
        <v>46113</v>
      </c>
      <c r="K17" s="32">
        <v>0</v>
      </c>
      <c r="L17" s="32">
        <v>0</v>
      </c>
      <c r="M17" s="32">
        <v>0</v>
      </c>
      <c r="N17" s="31" t="s">
        <v>88</v>
      </c>
      <c r="O17" s="34">
        <v>46219.826319444444</v>
      </c>
      <c r="P17" s="35" t="s">
        <v>76</v>
      </c>
      <c r="Q17" s="35" t="s">
        <v>79</v>
      </c>
      <c r="R17" s="33">
        <v>46153</v>
      </c>
      <c r="S17" s="30" t="s">
        <v>85</v>
      </c>
      <c r="T17" s="36">
        <v>16</v>
      </c>
      <c r="U17" s="30" t="s">
        <v>74</v>
      </c>
      <c r="V17" s="30" t="s">
        <v>73</v>
      </c>
    </row>
    <row r="18" spans="1:22" ht="195" hidden="1" x14ac:dyDescent="0.25">
      <c r="A18" s="30" t="s">
        <v>81</v>
      </c>
      <c r="B18" s="30" t="s">
        <v>64</v>
      </c>
      <c r="C18" s="30" t="s">
        <v>65</v>
      </c>
      <c r="D18" s="31" t="s">
        <v>82</v>
      </c>
      <c r="E18" s="30" t="s">
        <v>67</v>
      </c>
      <c r="F18" s="30" t="s">
        <v>18</v>
      </c>
      <c r="G18" s="31" t="s">
        <v>83</v>
      </c>
      <c r="H18" s="32">
        <v>58.54</v>
      </c>
      <c r="I18" s="31"/>
      <c r="J18" s="33">
        <v>46143</v>
      </c>
      <c r="K18" s="32">
        <v>0</v>
      </c>
      <c r="L18" s="32">
        <v>0</v>
      </c>
      <c r="M18" s="32">
        <v>0</v>
      </c>
      <c r="N18" s="31" t="s">
        <v>88</v>
      </c>
      <c r="O18" s="34">
        <v>46219.82707175926</v>
      </c>
      <c r="P18" s="35" t="s">
        <v>76</v>
      </c>
      <c r="Q18" s="35" t="s">
        <v>79</v>
      </c>
      <c r="R18" s="33">
        <v>46183</v>
      </c>
      <c r="S18" s="30" t="s">
        <v>85</v>
      </c>
      <c r="T18" s="36">
        <v>17</v>
      </c>
      <c r="U18" s="30" t="s">
        <v>74</v>
      </c>
      <c r="V18" s="30" t="s">
        <v>73</v>
      </c>
    </row>
    <row r="19" spans="1:22" ht="45" hidden="1" x14ac:dyDescent="0.25">
      <c r="A19" s="30" t="s">
        <v>81</v>
      </c>
      <c r="B19" s="30" t="s">
        <v>64</v>
      </c>
      <c r="C19" s="30" t="s">
        <v>65</v>
      </c>
      <c r="D19" s="31" t="s">
        <v>82</v>
      </c>
      <c r="E19" s="30" t="s">
        <v>67</v>
      </c>
      <c r="F19" s="30" t="s">
        <v>18</v>
      </c>
      <c r="G19" s="31" t="s">
        <v>83</v>
      </c>
      <c r="H19" s="32">
        <v>58.75</v>
      </c>
      <c r="I19" s="31"/>
      <c r="J19" s="33">
        <v>46174</v>
      </c>
      <c r="K19" s="32">
        <v>59.2</v>
      </c>
      <c r="L19" s="32">
        <v>1.0076595744680901</v>
      </c>
      <c r="M19" s="32">
        <v>1</v>
      </c>
      <c r="N19" s="31" t="s">
        <v>89</v>
      </c>
      <c r="O19" s="34">
        <v>46220.812708333331</v>
      </c>
      <c r="P19" s="35" t="s">
        <v>76</v>
      </c>
      <c r="Q19" s="35" t="s">
        <v>79</v>
      </c>
      <c r="R19" s="33">
        <v>46214</v>
      </c>
      <c r="S19" s="30" t="s">
        <v>85</v>
      </c>
      <c r="T19" s="36">
        <v>18</v>
      </c>
      <c r="U19" s="30" t="s">
        <v>74</v>
      </c>
      <c r="V19" s="30" t="s">
        <v>73</v>
      </c>
    </row>
    <row r="20" spans="1:22" hidden="1" x14ac:dyDescent="0.25">
      <c r="A20" s="30" t="s">
        <v>81</v>
      </c>
      <c r="B20" s="30" t="s">
        <v>64</v>
      </c>
      <c r="C20" s="30" t="s">
        <v>65</v>
      </c>
      <c r="D20" s="31" t="s">
        <v>82</v>
      </c>
      <c r="E20" s="30" t="s">
        <v>67</v>
      </c>
      <c r="F20" s="30" t="s">
        <v>18</v>
      </c>
      <c r="G20" s="31" t="s">
        <v>83</v>
      </c>
      <c r="H20" s="32">
        <v>58.9583333333333</v>
      </c>
      <c r="I20" s="31"/>
      <c r="J20" s="33">
        <v>46204</v>
      </c>
      <c r="K20" s="32">
        <v>0</v>
      </c>
      <c r="L20" s="32"/>
      <c r="M20" s="32">
        <v>0</v>
      </c>
      <c r="N20" s="31"/>
      <c r="O20" s="34">
        <v>46100.758067129631</v>
      </c>
      <c r="P20" s="35" t="s">
        <v>72</v>
      </c>
      <c r="Q20" s="35" t="s">
        <v>79</v>
      </c>
      <c r="R20" s="33">
        <v>46244</v>
      </c>
      <c r="S20" s="30" t="s">
        <v>85</v>
      </c>
      <c r="T20" s="36">
        <v>19</v>
      </c>
      <c r="U20" s="30" t="s">
        <v>74</v>
      </c>
      <c r="V20" s="30" t="s">
        <v>73</v>
      </c>
    </row>
    <row r="21" spans="1:22" hidden="1" x14ac:dyDescent="0.25">
      <c r="A21" s="30" t="s">
        <v>81</v>
      </c>
      <c r="B21" s="30" t="s">
        <v>64</v>
      </c>
      <c r="C21" s="30" t="s">
        <v>65</v>
      </c>
      <c r="D21" s="31" t="s">
        <v>82</v>
      </c>
      <c r="E21" s="30" t="s">
        <v>67</v>
      </c>
      <c r="F21" s="30" t="s">
        <v>18</v>
      </c>
      <c r="G21" s="31" t="s">
        <v>83</v>
      </c>
      <c r="H21" s="32">
        <v>59.1666666666667</v>
      </c>
      <c r="I21" s="31"/>
      <c r="J21" s="33">
        <v>46235</v>
      </c>
      <c r="K21" s="32">
        <v>0</v>
      </c>
      <c r="L21" s="32"/>
      <c r="M21" s="32">
        <v>0</v>
      </c>
      <c r="N21" s="31"/>
      <c r="O21" s="34">
        <v>46100.758067129631</v>
      </c>
      <c r="P21" s="35" t="s">
        <v>72</v>
      </c>
      <c r="Q21" s="35" t="s">
        <v>79</v>
      </c>
      <c r="R21" s="33">
        <v>46275</v>
      </c>
      <c r="S21" s="30" t="s">
        <v>85</v>
      </c>
      <c r="T21" s="36">
        <v>20</v>
      </c>
      <c r="U21" s="30" t="s">
        <v>74</v>
      </c>
      <c r="V21" s="30" t="s">
        <v>73</v>
      </c>
    </row>
    <row r="22" spans="1:22" hidden="1" x14ac:dyDescent="0.25">
      <c r="A22" s="30" t="s">
        <v>81</v>
      </c>
      <c r="B22" s="30" t="s">
        <v>64</v>
      </c>
      <c r="C22" s="30" t="s">
        <v>65</v>
      </c>
      <c r="D22" s="31" t="s">
        <v>82</v>
      </c>
      <c r="E22" s="30" t="s">
        <v>67</v>
      </c>
      <c r="F22" s="30" t="s">
        <v>18</v>
      </c>
      <c r="G22" s="31" t="s">
        <v>83</v>
      </c>
      <c r="H22" s="32">
        <v>59.375</v>
      </c>
      <c r="I22" s="31"/>
      <c r="J22" s="33">
        <v>46266</v>
      </c>
      <c r="K22" s="32">
        <v>0</v>
      </c>
      <c r="L22" s="32"/>
      <c r="M22" s="32">
        <v>0</v>
      </c>
      <c r="N22" s="31"/>
      <c r="O22" s="34">
        <v>46100.758067129631</v>
      </c>
      <c r="P22" s="35" t="s">
        <v>72</v>
      </c>
      <c r="Q22" s="35" t="s">
        <v>79</v>
      </c>
      <c r="R22" s="33">
        <v>46306</v>
      </c>
      <c r="S22" s="30" t="s">
        <v>85</v>
      </c>
      <c r="T22" s="36">
        <v>21</v>
      </c>
      <c r="U22" s="30" t="s">
        <v>74</v>
      </c>
      <c r="V22" s="30" t="s">
        <v>73</v>
      </c>
    </row>
    <row r="23" spans="1:22" hidden="1" x14ac:dyDescent="0.25">
      <c r="A23" s="30" t="s">
        <v>81</v>
      </c>
      <c r="B23" s="30" t="s">
        <v>64</v>
      </c>
      <c r="C23" s="30" t="s">
        <v>65</v>
      </c>
      <c r="D23" s="31" t="s">
        <v>82</v>
      </c>
      <c r="E23" s="30" t="s">
        <v>67</v>
      </c>
      <c r="F23" s="30" t="s">
        <v>18</v>
      </c>
      <c r="G23" s="31" t="s">
        <v>83</v>
      </c>
      <c r="H23" s="32">
        <v>59.5833333333333</v>
      </c>
      <c r="I23" s="31"/>
      <c r="J23" s="33">
        <v>46296</v>
      </c>
      <c r="K23" s="32">
        <v>0</v>
      </c>
      <c r="L23" s="32"/>
      <c r="M23" s="32">
        <v>0</v>
      </c>
      <c r="N23" s="31"/>
      <c r="O23" s="34">
        <v>46100.7580787037</v>
      </c>
      <c r="P23" s="35" t="s">
        <v>72</v>
      </c>
      <c r="Q23" s="35" t="s">
        <v>79</v>
      </c>
      <c r="R23" s="33">
        <v>46336</v>
      </c>
      <c r="S23" s="30" t="s">
        <v>85</v>
      </c>
      <c r="T23" s="36">
        <v>22</v>
      </c>
      <c r="U23" s="30" t="s">
        <v>74</v>
      </c>
      <c r="V23" s="30" t="s">
        <v>73</v>
      </c>
    </row>
    <row r="24" spans="1:22" hidden="1" x14ac:dyDescent="0.25">
      <c r="A24" s="30" t="s">
        <v>81</v>
      </c>
      <c r="B24" s="30" t="s">
        <v>64</v>
      </c>
      <c r="C24" s="30" t="s">
        <v>65</v>
      </c>
      <c r="D24" s="31" t="s">
        <v>82</v>
      </c>
      <c r="E24" s="30" t="s">
        <v>67</v>
      </c>
      <c r="F24" s="30" t="s">
        <v>18</v>
      </c>
      <c r="G24" s="31" t="s">
        <v>83</v>
      </c>
      <c r="H24" s="32">
        <v>59.7916666666667</v>
      </c>
      <c r="I24" s="31"/>
      <c r="J24" s="33">
        <v>46327</v>
      </c>
      <c r="K24" s="32">
        <v>0</v>
      </c>
      <c r="L24" s="32"/>
      <c r="M24" s="32">
        <v>0</v>
      </c>
      <c r="N24" s="31"/>
      <c r="O24" s="34">
        <v>46100.758101851854</v>
      </c>
      <c r="P24" s="35" t="s">
        <v>72</v>
      </c>
      <c r="Q24" s="35" t="s">
        <v>79</v>
      </c>
      <c r="R24" s="33">
        <v>46367</v>
      </c>
      <c r="S24" s="30" t="s">
        <v>85</v>
      </c>
      <c r="T24" s="36">
        <v>23</v>
      </c>
      <c r="U24" s="30" t="s">
        <v>74</v>
      </c>
      <c r="V24" s="30" t="s">
        <v>73</v>
      </c>
    </row>
    <row r="25" spans="1:22" hidden="1" x14ac:dyDescent="0.25">
      <c r="A25" s="30" t="s">
        <v>81</v>
      </c>
      <c r="B25" s="30" t="s">
        <v>64</v>
      </c>
      <c r="C25" s="30" t="s">
        <v>65</v>
      </c>
      <c r="D25" s="31" t="s">
        <v>82</v>
      </c>
      <c r="E25" s="30" t="s">
        <v>67</v>
      </c>
      <c r="F25" s="30" t="s">
        <v>18</v>
      </c>
      <c r="G25" s="31" t="s">
        <v>83</v>
      </c>
      <c r="H25" s="32">
        <v>60</v>
      </c>
      <c r="I25" s="31"/>
      <c r="J25" s="33">
        <v>46357</v>
      </c>
      <c r="K25" s="32">
        <v>0</v>
      </c>
      <c r="L25" s="32"/>
      <c r="M25" s="32">
        <v>0</v>
      </c>
      <c r="N25" s="31"/>
      <c r="O25" s="34">
        <v>46100.758113425924</v>
      </c>
      <c r="P25" s="35" t="s">
        <v>72</v>
      </c>
      <c r="Q25" s="35" t="s">
        <v>79</v>
      </c>
      <c r="R25" s="33">
        <v>46397</v>
      </c>
      <c r="S25" s="30" t="s">
        <v>85</v>
      </c>
      <c r="T25" s="36">
        <v>24</v>
      </c>
      <c r="U25" s="30" t="s">
        <v>74</v>
      </c>
      <c r="V25" s="30" t="s">
        <v>73</v>
      </c>
    </row>
    <row r="26" spans="1:22" ht="195" hidden="1" x14ac:dyDescent="0.25">
      <c r="A26" s="30" t="s">
        <v>90</v>
      </c>
      <c r="B26" s="30" t="s">
        <v>64</v>
      </c>
      <c r="C26" s="30" t="s">
        <v>91</v>
      </c>
      <c r="D26" s="31" t="s">
        <v>92</v>
      </c>
      <c r="E26" s="30" t="s">
        <v>67</v>
      </c>
      <c r="F26" s="30" t="s">
        <v>18</v>
      </c>
      <c r="G26" s="31" t="s">
        <v>93</v>
      </c>
      <c r="H26" s="32">
        <v>1056593038.5700001</v>
      </c>
      <c r="I26" s="31"/>
      <c r="J26" s="33">
        <v>46023</v>
      </c>
      <c r="K26" s="32">
        <v>1131557094.8099999</v>
      </c>
      <c r="L26" s="32">
        <v>1.0709488454906499</v>
      </c>
      <c r="M26" s="32">
        <v>1</v>
      </c>
      <c r="N26" s="31" t="s">
        <v>94</v>
      </c>
      <c r="O26" s="34">
        <v>46132.792303240742</v>
      </c>
      <c r="P26" s="35" t="s">
        <v>76</v>
      </c>
      <c r="Q26" s="35" t="s">
        <v>70</v>
      </c>
      <c r="R26" s="33">
        <v>46063</v>
      </c>
      <c r="S26" s="30" t="s">
        <v>95</v>
      </c>
      <c r="T26" s="36">
        <v>25</v>
      </c>
      <c r="U26" s="30" t="s">
        <v>74</v>
      </c>
      <c r="V26" s="30" t="s">
        <v>73</v>
      </c>
    </row>
    <row r="27" spans="1:22" ht="195" hidden="1" x14ac:dyDescent="0.25">
      <c r="A27" s="30" t="s">
        <v>90</v>
      </c>
      <c r="B27" s="30" t="s">
        <v>64</v>
      </c>
      <c r="C27" s="30" t="s">
        <v>91</v>
      </c>
      <c r="D27" s="31" t="s">
        <v>92</v>
      </c>
      <c r="E27" s="30" t="s">
        <v>67</v>
      </c>
      <c r="F27" s="30" t="s">
        <v>18</v>
      </c>
      <c r="G27" s="31" t="s">
        <v>93</v>
      </c>
      <c r="H27" s="32">
        <v>1997659492.5699999</v>
      </c>
      <c r="I27" s="31"/>
      <c r="J27" s="33">
        <v>46054</v>
      </c>
      <c r="K27" s="32">
        <v>2219993242.7800002</v>
      </c>
      <c r="L27" s="32">
        <v>1.1112971209742899</v>
      </c>
      <c r="M27" s="32">
        <v>1</v>
      </c>
      <c r="N27" s="31" t="s">
        <v>94</v>
      </c>
      <c r="O27" s="34">
        <v>46132.79488425926</v>
      </c>
      <c r="P27" s="35" t="s">
        <v>76</v>
      </c>
      <c r="Q27" s="35" t="s">
        <v>70</v>
      </c>
      <c r="R27" s="33">
        <v>46094</v>
      </c>
      <c r="S27" s="30" t="s">
        <v>95</v>
      </c>
      <c r="T27" s="36">
        <v>26</v>
      </c>
      <c r="U27" s="30" t="s">
        <v>74</v>
      </c>
      <c r="V27" s="30" t="s">
        <v>73</v>
      </c>
    </row>
    <row r="28" spans="1:22" ht="180" hidden="1" x14ac:dyDescent="0.25">
      <c r="A28" s="30" t="s">
        <v>90</v>
      </c>
      <c r="B28" s="30" t="s">
        <v>64</v>
      </c>
      <c r="C28" s="30" t="s">
        <v>91</v>
      </c>
      <c r="D28" s="31" t="s">
        <v>92</v>
      </c>
      <c r="E28" s="30" t="s">
        <v>67</v>
      </c>
      <c r="F28" s="30" t="s">
        <v>18</v>
      </c>
      <c r="G28" s="31" t="s">
        <v>93</v>
      </c>
      <c r="H28" s="32">
        <v>3070246140.7800002</v>
      </c>
      <c r="I28" s="31"/>
      <c r="J28" s="33">
        <v>46082</v>
      </c>
      <c r="K28" s="32">
        <v>3322204494.29</v>
      </c>
      <c r="L28" s="32">
        <v>1.0820645453025399</v>
      </c>
      <c r="M28" s="32">
        <v>1</v>
      </c>
      <c r="N28" s="31" t="s">
        <v>96</v>
      </c>
      <c r="O28" s="34">
        <v>46132.795659722222</v>
      </c>
      <c r="P28" s="35" t="s">
        <v>76</v>
      </c>
      <c r="Q28" s="35" t="s">
        <v>70</v>
      </c>
      <c r="R28" s="33">
        <v>46122</v>
      </c>
      <c r="S28" s="30" t="s">
        <v>95</v>
      </c>
      <c r="T28" s="36">
        <v>27</v>
      </c>
      <c r="U28" s="30" t="s">
        <v>74</v>
      </c>
      <c r="V28" s="30" t="s">
        <v>73</v>
      </c>
    </row>
    <row r="29" spans="1:22" ht="60" hidden="1" x14ac:dyDescent="0.25">
      <c r="A29" s="30" t="s">
        <v>90</v>
      </c>
      <c r="B29" s="30" t="s">
        <v>64</v>
      </c>
      <c r="C29" s="30" t="s">
        <v>91</v>
      </c>
      <c r="D29" s="31" t="s">
        <v>92</v>
      </c>
      <c r="E29" s="30" t="s">
        <v>67</v>
      </c>
      <c r="F29" s="30" t="s">
        <v>18</v>
      </c>
      <c r="G29" s="31" t="s">
        <v>93</v>
      </c>
      <c r="H29" s="32">
        <v>4193018946.75</v>
      </c>
      <c r="I29" s="31"/>
      <c r="J29" s="33">
        <v>46113</v>
      </c>
      <c r="K29" s="32">
        <v>4455763900.8000002</v>
      </c>
      <c r="L29" s="32">
        <v>1.0626624771761799</v>
      </c>
      <c r="M29" s="32">
        <v>1</v>
      </c>
      <c r="N29" s="31" t="s">
        <v>97</v>
      </c>
      <c r="O29" s="34">
        <v>46220.470763888887</v>
      </c>
      <c r="P29" s="35" t="s">
        <v>76</v>
      </c>
      <c r="Q29" s="35" t="s">
        <v>79</v>
      </c>
      <c r="R29" s="33">
        <v>46153</v>
      </c>
      <c r="S29" s="30" t="s">
        <v>95</v>
      </c>
      <c r="T29" s="36">
        <v>28</v>
      </c>
      <c r="U29" s="30" t="s">
        <v>74</v>
      </c>
      <c r="V29" s="30" t="s">
        <v>73</v>
      </c>
    </row>
    <row r="30" spans="1:22" ht="60" hidden="1" x14ac:dyDescent="0.25">
      <c r="A30" s="30" t="s">
        <v>90</v>
      </c>
      <c r="B30" s="30" t="s">
        <v>64</v>
      </c>
      <c r="C30" s="30" t="s">
        <v>91</v>
      </c>
      <c r="D30" s="31" t="s">
        <v>92</v>
      </c>
      <c r="E30" s="30" t="s">
        <v>67</v>
      </c>
      <c r="F30" s="30" t="s">
        <v>18</v>
      </c>
      <c r="G30" s="31" t="s">
        <v>93</v>
      </c>
      <c r="H30" s="32">
        <v>5285128207.7799997</v>
      </c>
      <c r="I30" s="31"/>
      <c r="J30" s="33">
        <v>46143</v>
      </c>
      <c r="K30" s="32">
        <v>5640812286.3299999</v>
      </c>
      <c r="L30" s="32">
        <v>1.06729904452013</v>
      </c>
      <c r="M30" s="32">
        <v>1</v>
      </c>
      <c r="N30" s="31" t="s">
        <v>97</v>
      </c>
      <c r="O30" s="34">
        <v>46220.471400462964</v>
      </c>
      <c r="P30" s="35" t="s">
        <v>76</v>
      </c>
      <c r="Q30" s="35" t="s">
        <v>79</v>
      </c>
      <c r="R30" s="33">
        <v>46183</v>
      </c>
      <c r="S30" s="30" t="s">
        <v>95</v>
      </c>
      <c r="T30" s="36">
        <v>29</v>
      </c>
      <c r="U30" s="30" t="s">
        <v>74</v>
      </c>
      <c r="V30" s="30" t="s">
        <v>73</v>
      </c>
    </row>
    <row r="31" spans="1:22" ht="60" hidden="1" x14ac:dyDescent="0.25">
      <c r="A31" s="30" t="s">
        <v>90</v>
      </c>
      <c r="B31" s="30" t="s">
        <v>64</v>
      </c>
      <c r="C31" s="30" t="s">
        <v>91</v>
      </c>
      <c r="D31" s="31" t="s">
        <v>92</v>
      </c>
      <c r="E31" s="30" t="s">
        <v>67</v>
      </c>
      <c r="F31" s="30" t="s">
        <v>18</v>
      </c>
      <c r="G31" s="31" t="s">
        <v>93</v>
      </c>
      <c r="H31" s="32">
        <v>6512131484.9300003</v>
      </c>
      <c r="I31" s="31"/>
      <c r="J31" s="33">
        <v>46174</v>
      </c>
      <c r="K31" s="32">
        <v>6784050495.3199997</v>
      </c>
      <c r="L31" s="32">
        <v>1.0417557616917399</v>
      </c>
      <c r="M31" s="32">
        <v>1</v>
      </c>
      <c r="N31" s="31" t="s">
        <v>97</v>
      </c>
      <c r="O31" s="34">
        <v>46220.471944444442</v>
      </c>
      <c r="P31" s="35" t="s">
        <v>76</v>
      </c>
      <c r="Q31" s="35" t="s">
        <v>79</v>
      </c>
      <c r="R31" s="33">
        <v>46214</v>
      </c>
      <c r="S31" s="30" t="s">
        <v>95</v>
      </c>
      <c r="T31" s="36">
        <v>30</v>
      </c>
      <c r="U31" s="30" t="s">
        <v>74</v>
      </c>
      <c r="V31" s="30" t="s">
        <v>73</v>
      </c>
    </row>
    <row r="32" spans="1:22" hidden="1" x14ac:dyDescent="0.25">
      <c r="A32" s="30" t="s">
        <v>90</v>
      </c>
      <c r="B32" s="30" t="s">
        <v>64</v>
      </c>
      <c r="C32" s="30" t="s">
        <v>91</v>
      </c>
      <c r="D32" s="31" t="s">
        <v>92</v>
      </c>
      <c r="E32" s="30" t="s">
        <v>67</v>
      </c>
      <c r="F32" s="30" t="s">
        <v>18</v>
      </c>
      <c r="G32" s="31" t="s">
        <v>93</v>
      </c>
      <c r="H32" s="32">
        <v>7644597006.0799999</v>
      </c>
      <c r="I32" s="31"/>
      <c r="J32" s="33">
        <v>46204</v>
      </c>
      <c r="K32" s="32">
        <v>0</v>
      </c>
      <c r="L32" s="32"/>
      <c r="M32" s="32">
        <v>0</v>
      </c>
      <c r="N32" s="31"/>
      <c r="O32" s="34">
        <v>46126.760381944441</v>
      </c>
      <c r="P32" s="35" t="s">
        <v>72</v>
      </c>
      <c r="Q32" s="35" t="s">
        <v>79</v>
      </c>
      <c r="R32" s="33">
        <v>46244</v>
      </c>
      <c r="S32" s="30" t="s">
        <v>95</v>
      </c>
      <c r="T32" s="36">
        <v>31</v>
      </c>
      <c r="U32" s="30" t="s">
        <v>74</v>
      </c>
      <c r="V32" s="30" t="s">
        <v>73</v>
      </c>
    </row>
    <row r="33" spans="1:22" hidden="1" x14ac:dyDescent="0.25">
      <c r="A33" s="30" t="s">
        <v>90</v>
      </c>
      <c r="B33" s="30" t="s">
        <v>64</v>
      </c>
      <c r="C33" s="30" t="s">
        <v>91</v>
      </c>
      <c r="D33" s="31" t="s">
        <v>92</v>
      </c>
      <c r="E33" s="30" t="s">
        <v>67</v>
      </c>
      <c r="F33" s="30" t="s">
        <v>18</v>
      </c>
      <c r="G33" s="31" t="s">
        <v>93</v>
      </c>
      <c r="H33" s="32">
        <v>8771034926.8400002</v>
      </c>
      <c r="I33" s="31"/>
      <c r="J33" s="33">
        <v>46235</v>
      </c>
      <c r="K33" s="32">
        <v>0</v>
      </c>
      <c r="L33" s="32"/>
      <c r="M33" s="32">
        <v>0</v>
      </c>
      <c r="N33" s="31"/>
      <c r="O33" s="34">
        <v>46126.760381944441</v>
      </c>
      <c r="P33" s="35" t="s">
        <v>72</v>
      </c>
      <c r="Q33" s="35" t="s">
        <v>79</v>
      </c>
      <c r="R33" s="33">
        <v>46275</v>
      </c>
      <c r="S33" s="30" t="s">
        <v>95</v>
      </c>
      <c r="T33" s="36">
        <v>32</v>
      </c>
      <c r="U33" s="30" t="s">
        <v>74</v>
      </c>
      <c r="V33" s="30" t="s">
        <v>73</v>
      </c>
    </row>
    <row r="34" spans="1:22" hidden="1" x14ac:dyDescent="0.25">
      <c r="A34" s="30" t="s">
        <v>90</v>
      </c>
      <c r="B34" s="30" t="s">
        <v>64</v>
      </c>
      <c r="C34" s="30" t="s">
        <v>91</v>
      </c>
      <c r="D34" s="31" t="s">
        <v>92</v>
      </c>
      <c r="E34" s="30" t="s">
        <v>67</v>
      </c>
      <c r="F34" s="30" t="s">
        <v>18</v>
      </c>
      <c r="G34" s="31" t="s">
        <v>93</v>
      </c>
      <c r="H34" s="32">
        <v>10271204883.870001</v>
      </c>
      <c r="I34" s="31"/>
      <c r="J34" s="33">
        <v>46266</v>
      </c>
      <c r="K34" s="32">
        <v>0</v>
      </c>
      <c r="L34" s="32"/>
      <c r="M34" s="32">
        <v>0</v>
      </c>
      <c r="N34" s="31"/>
      <c r="O34" s="34">
        <v>46126.760381944441</v>
      </c>
      <c r="P34" s="35" t="s">
        <v>72</v>
      </c>
      <c r="Q34" s="35" t="s">
        <v>79</v>
      </c>
      <c r="R34" s="33">
        <v>46306</v>
      </c>
      <c r="S34" s="30" t="s">
        <v>95</v>
      </c>
      <c r="T34" s="36">
        <v>33</v>
      </c>
      <c r="U34" s="30" t="s">
        <v>74</v>
      </c>
      <c r="V34" s="30" t="s">
        <v>73</v>
      </c>
    </row>
    <row r="35" spans="1:22" hidden="1" x14ac:dyDescent="0.25">
      <c r="A35" s="30" t="s">
        <v>90</v>
      </c>
      <c r="B35" s="30" t="s">
        <v>64</v>
      </c>
      <c r="C35" s="30" t="s">
        <v>91</v>
      </c>
      <c r="D35" s="31" t="s">
        <v>92</v>
      </c>
      <c r="E35" s="30" t="s">
        <v>67</v>
      </c>
      <c r="F35" s="30" t="s">
        <v>18</v>
      </c>
      <c r="G35" s="31" t="s">
        <v>93</v>
      </c>
      <c r="H35" s="32">
        <v>11442642919.959999</v>
      </c>
      <c r="I35" s="31"/>
      <c r="J35" s="33">
        <v>46296</v>
      </c>
      <c r="K35" s="32">
        <v>0</v>
      </c>
      <c r="L35" s="32"/>
      <c r="M35" s="32">
        <v>0</v>
      </c>
      <c r="N35" s="31"/>
      <c r="O35" s="34">
        <v>46126.760381944441</v>
      </c>
      <c r="P35" s="35" t="s">
        <v>72</v>
      </c>
      <c r="Q35" s="35" t="s">
        <v>79</v>
      </c>
      <c r="R35" s="33">
        <v>46336</v>
      </c>
      <c r="S35" s="30" t="s">
        <v>95</v>
      </c>
      <c r="T35" s="36">
        <v>34</v>
      </c>
      <c r="U35" s="30" t="s">
        <v>74</v>
      </c>
      <c r="V35" s="30" t="s">
        <v>73</v>
      </c>
    </row>
    <row r="36" spans="1:22" hidden="1" x14ac:dyDescent="0.25">
      <c r="A36" s="30" t="s">
        <v>90</v>
      </c>
      <c r="B36" s="30" t="s">
        <v>64</v>
      </c>
      <c r="C36" s="30" t="s">
        <v>91</v>
      </c>
      <c r="D36" s="31" t="s">
        <v>92</v>
      </c>
      <c r="E36" s="30" t="s">
        <v>67</v>
      </c>
      <c r="F36" s="30" t="s">
        <v>18</v>
      </c>
      <c r="G36" s="31" t="s">
        <v>93</v>
      </c>
      <c r="H36" s="32">
        <v>12525118607.91</v>
      </c>
      <c r="I36" s="31"/>
      <c r="J36" s="33">
        <v>46327</v>
      </c>
      <c r="K36" s="32">
        <v>0</v>
      </c>
      <c r="L36" s="32"/>
      <c r="M36" s="32">
        <v>0</v>
      </c>
      <c r="N36" s="31"/>
      <c r="O36" s="34">
        <v>46126.760381944441</v>
      </c>
      <c r="P36" s="35" t="s">
        <v>72</v>
      </c>
      <c r="Q36" s="35" t="s">
        <v>79</v>
      </c>
      <c r="R36" s="33">
        <v>46367</v>
      </c>
      <c r="S36" s="30" t="s">
        <v>95</v>
      </c>
      <c r="T36" s="36">
        <v>35</v>
      </c>
      <c r="U36" s="30" t="s">
        <v>74</v>
      </c>
      <c r="V36" s="30" t="s">
        <v>73</v>
      </c>
    </row>
    <row r="37" spans="1:22" hidden="1" x14ac:dyDescent="0.25">
      <c r="A37" s="30" t="s">
        <v>90</v>
      </c>
      <c r="B37" s="30" t="s">
        <v>64</v>
      </c>
      <c r="C37" s="30" t="s">
        <v>91</v>
      </c>
      <c r="D37" s="31" t="s">
        <v>92</v>
      </c>
      <c r="E37" s="30" t="s">
        <v>67</v>
      </c>
      <c r="F37" s="30" t="s">
        <v>18</v>
      </c>
      <c r="G37" s="31" t="s">
        <v>93</v>
      </c>
      <c r="H37" s="32">
        <v>14996238568.92</v>
      </c>
      <c r="I37" s="31"/>
      <c r="J37" s="33">
        <v>46357</v>
      </c>
      <c r="K37" s="32">
        <v>0</v>
      </c>
      <c r="L37" s="32"/>
      <c r="M37" s="32">
        <v>0</v>
      </c>
      <c r="N37" s="31"/>
      <c r="O37" s="34">
        <v>46126.760381944441</v>
      </c>
      <c r="P37" s="35" t="s">
        <v>72</v>
      </c>
      <c r="Q37" s="35" t="s">
        <v>79</v>
      </c>
      <c r="R37" s="33">
        <v>46397</v>
      </c>
      <c r="S37" s="30" t="s">
        <v>95</v>
      </c>
      <c r="T37" s="36">
        <v>36</v>
      </c>
      <c r="U37" s="30" t="s">
        <v>74</v>
      </c>
      <c r="V37" s="30" t="s">
        <v>73</v>
      </c>
    </row>
    <row r="38" spans="1:22" ht="30" hidden="1" x14ac:dyDescent="0.25">
      <c r="A38" s="30" t="s">
        <v>98</v>
      </c>
      <c r="B38" s="30" t="s">
        <v>64</v>
      </c>
      <c r="C38" s="30" t="s">
        <v>91</v>
      </c>
      <c r="D38" s="31" t="s">
        <v>99</v>
      </c>
      <c r="E38" s="30" t="s">
        <v>100</v>
      </c>
      <c r="F38" s="30" t="s">
        <v>19</v>
      </c>
      <c r="G38" s="31" t="s">
        <v>101</v>
      </c>
      <c r="H38" s="32">
        <v>0.1449</v>
      </c>
      <c r="I38" s="31"/>
      <c r="J38" s="33">
        <v>46023</v>
      </c>
      <c r="K38" s="32">
        <v>6.4199999999999993E-2</v>
      </c>
      <c r="L38" s="32">
        <v>1.0944</v>
      </c>
      <c r="M38" s="32">
        <v>1</v>
      </c>
      <c r="N38" s="31" t="s">
        <v>102</v>
      </c>
      <c r="O38" s="34">
        <v>46156.596585648149</v>
      </c>
      <c r="P38" s="35" t="s">
        <v>103</v>
      </c>
      <c r="Q38" s="35" t="s">
        <v>70</v>
      </c>
      <c r="R38" s="33">
        <v>46063</v>
      </c>
      <c r="S38" s="30" t="s">
        <v>21</v>
      </c>
      <c r="T38" s="36">
        <v>37</v>
      </c>
      <c r="U38" s="30" t="s">
        <v>74</v>
      </c>
      <c r="V38" s="30" t="s">
        <v>73</v>
      </c>
    </row>
    <row r="39" spans="1:22" ht="30" hidden="1" x14ac:dyDescent="0.25">
      <c r="A39" s="30" t="s">
        <v>98</v>
      </c>
      <c r="B39" s="30" t="s">
        <v>64</v>
      </c>
      <c r="C39" s="30" t="s">
        <v>91</v>
      </c>
      <c r="D39" s="31" t="s">
        <v>99</v>
      </c>
      <c r="E39" s="30" t="s">
        <v>100</v>
      </c>
      <c r="F39" s="30" t="s">
        <v>19</v>
      </c>
      <c r="G39" s="31" t="s">
        <v>101</v>
      </c>
      <c r="H39" s="32">
        <v>0.14449999999999999</v>
      </c>
      <c r="I39" s="31"/>
      <c r="J39" s="33">
        <v>46054</v>
      </c>
      <c r="K39" s="32">
        <v>0.11</v>
      </c>
      <c r="L39" s="32">
        <v>1.0403</v>
      </c>
      <c r="M39" s="32">
        <v>1</v>
      </c>
      <c r="N39" s="31" t="s">
        <v>104</v>
      </c>
      <c r="O39" s="34">
        <v>46156.596932870372</v>
      </c>
      <c r="P39" s="35" t="s">
        <v>103</v>
      </c>
      <c r="Q39" s="35" t="s">
        <v>70</v>
      </c>
      <c r="R39" s="33">
        <v>46094</v>
      </c>
      <c r="S39" s="30" t="s">
        <v>21</v>
      </c>
      <c r="T39" s="36">
        <v>38</v>
      </c>
      <c r="U39" s="30" t="s">
        <v>74</v>
      </c>
      <c r="V39" s="30" t="s">
        <v>73</v>
      </c>
    </row>
    <row r="40" spans="1:22" ht="30" hidden="1" x14ac:dyDescent="0.25">
      <c r="A40" s="30" t="s">
        <v>98</v>
      </c>
      <c r="B40" s="30" t="s">
        <v>64</v>
      </c>
      <c r="C40" s="30" t="s">
        <v>91</v>
      </c>
      <c r="D40" s="31" t="s">
        <v>99</v>
      </c>
      <c r="E40" s="30" t="s">
        <v>100</v>
      </c>
      <c r="F40" s="30" t="s">
        <v>19</v>
      </c>
      <c r="G40" s="31" t="s">
        <v>101</v>
      </c>
      <c r="H40" s="32">
        <v>0.14410000000000001</v>
      </c>
      <c r="I40" s="31"/>
      <c r="J40" s="33">
        <v>46082</v>
      </c>
      <c r="K40" s="32">
        <v>0.108</v>
      </c>
      <c r="L40" s="32">
        <v>1.0422</v>
      </c>
      <c r="M40" s="32">
        <v>1</v>
      </c>
      <c r="N40" s="31" t="s">
        <v>105</v>
      </c>
      <c r="O40" s="34">
        <v>46156.597256944442</v>
      </c>
      <c r="P40" s="35" t="s">
        <v>103</v>
      </c>
      <c r="Q40" s="35" t="s">
        <v>70</v>
      </c>
      <c r="R40" s="33">
        <v>46122</v>
      </c>
      <c r="S40" s="30" t="s">
        <v>21</v>
      </c>
      <c r="T40" s="36">
        <v>39</v>
      </c>
      <c r="U40" s="30" t="s">
        <v>74</v>
      </c>
      <c r="V40" s="30" t="s">
        <v>73</v>
      </c>
    </row>
    <row r="41" spans="1:22" ht="165" hidden="1" x14ac:dyDescent="0.25">
      <c r="A41" s="30" t="s">
        <v>98</v>
      </c>
      <c r="B41" s="30" t="s">
        <v>64</v>
      </c>
      <c r="C41" s="30" t="s">
        <v>91</v>
      </c>
      <c r="D41" s="31" t="s">
        <v>99</v>
      </c>
      <c r="E41" s="30" t="s">
        <v>100</v>
      </c>
      <c r="F41" s="30" t="s">
        <v>19</v>
      </c>
      <c r="G41" s="31" t="s">
        <v>101</v>
      </c>
      <c r="H41" s="32">
        <v>0.14360000000000001</v>
      </c>
      <c r="I41" s="31"/>
      <c r="J41" s="33">
        <v>46113</v>
      </c>
      <c r="K41" s="32">
        <v>0.1113</v>
      </c>
      <c r="L41" s="32">
        <v>1.0377000000000001</v>
      </c>
      <c r="M41" s="32">
        <v>1</v>
      </c>
      <c r="N41" s="31" t="s">
        <v>106</v>
      </c>
      <c r="O41" s="34">
        <v>46203.787881944445</v>
      </c>
      <c r="P41" s="35" t="s">
        <v>103</v>
      </c>
      <c r="Q41" s="35" t="s">
        <v>70</v>
      </c>
      <c r="R41" s="33">
        <v>46153</v>
      </c>
      <c r="S41" s="30" t="s">
        <v>21</v>
      </c>
      <c r="T41" s="36">
        <v>40</v>
      </c>
      <c r="U41" s="30" t="s">
        <v>74</v>
      </c>
      <c r="V41" s="30" t="s">
        <v>73</v>
      </c>
    </row>
    <row r="42" spans="1:22" ht="180" hidden="1" x14ac:dyDescent="0.25">
      <c r="A42" s="30" t="s">
        <v>98</v>
      </c>
      <c r="B42" s="30" t="s">
        <v>64</v>
      </c>
      <c r="C42" s="30" t="s">
        <v>91</v>
      </c>
      <c r="D42" s="31" t="s">
        <v>99</v>
      </c>
      <c r="E42" s="30" t="s">
        <v>100</v>
      </c>
      <c r="F42" s="30" t="s">
        <v>19</v>
      </c>
      <c r="G42" s="31" t="s">
        <v>101</v>
      </c>
      <c r="H42" s="32">
        <v>0.14319999999999999</v>
      </c>
      <c r="I42" s="31"/>
      <c r="J42" s="33">
        <v>46143</v>
      </c>
      <c r="K42" s="32">
        <v>0.1115</v>
      </c>
      <c r="L42" s="32">
        <v>1.0369999999999999</v>
      </c>
      <c r="M42" s="32">
        <v>1</v>
      </c>
      <c r="N42" s="31" t="s">
        <v>107</v>
      </c>
      <c r="O42" s="34">
        <v>46203.78802083333</v>
      </c>
      <c r="P42" s="35" t="s">
        <v>103</v>
      </c>
      <c r="Q42" s="35" t="s">
        <v>70</v>
      </c>
      <c r="R42" s="33">
        <v>46183</v>
      </c>
      <c r="S42" s="30" t="s">
        <v>21</v>
      </c>
      <c r="T42" s="36">
        <v>41</v>
      </c>
      <c r="U42" s="30" t="s">
        <v>74</v>
      </c>
      <c r="V42" s="30" t="s">
        <v>73</v>
      </c>
    </row>
    <row r="43" spans="1:22" ht="195" hidden="1" x14ac:dyDescent="0.25">
      <c r="A43" s="30" t="s">
        <v>98</v>
      </c>
      <c r="B43" s="30" t="s">
        <v>64</v>
      </c>
      <c r="C43" s="30" t="s">
        <v>91</v>
      </c>
      <c r="D43" s="31" t="s">
        <v>99</v>
      </c>
      <c r="E43" s="30" t="s">
        <v>100</v>
      </c>
      <c r="F43" s="30" t="s">
        <v>19</v>
      </c>
      <c r="G43" s="31" t="s">
        <v>101</v>
      </c>
      <c r="H43" s="32">
        <v>0.14280000000000001</v>
      </c>
      <c r="I43" s="31"/>
      <c r="J43" s="33">
        <v>46174</v>
      </c>
      <c r="K43" s="32">
        <v>0.1115</v>
      </c>
      <c r="L43" s="32">
        <v>1.0365</v>
      </c>
      <c r="M43" s="32">
        <v>1</v>
      </c>
      <c r="N43" s="31" t="s">
        <v>108</v>
      </c>
      <c r="O43" s="34">
        <v>46245.675798611112</v>
      </c>
      <c r="P43" s="35" t="s">
        <v>109</v>
      </c>
      <c r="Q43" s="35" t="s">
        <v>70</v>
      </c>
      <c r="R43" s="33">
        <v>46214</v>
      </c>
      <c r="S43" s="30" t="s">
        <v>21</v>
      </c>
      <c r="T43" s="36">
        <v>42</v>
      </c>
      <c r="U43" s="30" t="s">
        <v>74</v>
      </c>
      <c r="V43" s="30" t="s">
        <v>73</v>
      </c>
    </row>
    <row r="44" spans="1:22" ht="30" hidden="1" x14ac:dyDescent="0.25">
      <c r="A44" s="30" t="s">
        <v>98</v>
      </c>
      <c r="B44" s="30" t="s">
        <v>64</v>
      </c>
      <c r="C44" s="30" t="s">
        <v>91</v>
      </c>
      <c r="D44" s="31" t="s">
        <v>99</v>
      </c>
      <c r="E44" s="30" t="s">
        <v>100</v>
      </c>
      <c r="F44" s="30" t="s">
        <v>19</v>
      </c>
      <c r="G44" s="31" t="s">
        <v>101</v>
      </c>
      <c r="H44" s="32">
        <v>0.142383333</v>
      </c>
      <c r="I44" s="31"/>
      <c r="J44" s="33">
        <v>46204</v>
      </c>
      <c r="K44" s="32">
        <v>0</v>
      </c>
      <c r="L44" s="32"/>
      <c r="M44" s="32">
        <v>0</v>
      </c>
      <c r="N44" s="31"/>
      <c r="O44" s="34">
        <v>46156.543807870374</v>
      </c>
      <c r="P44" s="35" t="s">
        <v>72</v>
      </c>
      <c r="Q44" s="35" t="s">
        <v>79</v>
      </c>
      <c r="R44" s="33">
        <v>46244</v>
      </c>
      <c r="S44" s="30" t="s">
        <v>21</v>
      </c>
      <c r="T44" s="36">
        <v>43</v>
      </c>
      <c r="U44" s="30" t="s">
        <v>74</v>
      </c>
      <c r="V44" s="30" t="s">
        <v>73</v>
      </c>
    </row>
    <row r="45" spans="1:22" ht="30" hidden="1" x14ac:dyDescent="0.25">
      <c r="A45" s="30" t="s">
        <v>98</v>
      </c>
      <c r="B45" s="30" t="s">
        <v>64</v>
      </c>
      <c r="C45" s="30" t="s">
        <v>91</v>
      </c>
      <c r="D45" s="31" t="s">
        <v>99</v>
      </c>
      <c r="E45" s="30" t="s">
        <v>100</v>
      </c>
      <c r="F45" s="30" t="s">
        <v>19</v>
      </c>
      <c r="G45" s="31" t="s">
        <v>101</v>
      </c>
      <c r="H45" s="32">
        <v>0.14196666699999999</v>
      </c>
      <c r="I45" s="31"/>
      <c r="J45" s="33">
        <v>46235</v>
      </c>
      <c r="K45" s="32">
        <v>0</v>
      </c>
      <c r="L45" s="32"/>
      <c r="M45" s="32">
        <v>0</v>
      </c>
      <c r="N45" s="31"/>
      <c r="O45" s="34">
        <v>46156.543900462966</v>
      </c>
      <c r="P45" s="35" t="s">
        <v>72</v>
      </c>
      <c r="Q45" s="35" t="s">
        <v>79</v>
      </c>
      <c r="R45" s="33">
        <v>46275</v>
      </c>
      <c r="S45" s="30" t="s">
        <v>21</v>
      </c>
      <c r="T45" s="36">
        <v>44</v>
      </c>
      <c r="U45" s="30" t="s">
        <v>74</v>
      </c>
      <c r="V45" s="30" t="s">
        <v>73</v>
      </c>
    </row>
    <row r="46" spans="1:22" ht="30" hidden="1" x14ac:dyDescent="0.25">
      <c r="A46" s="30" t="s">
        <v>98</v>
      </c>
      <c r="B46" s="30" t="s">
        <v>64</v>
      </c>
      <c r="C46" s="30" t="s">
        <v>91</v>
      </c>
      <c r="D46" s="31" t="s">
        <v>99</v>
      </c>
      <c r="E46" s="30" t="s">
        <v>100</v>
      </c>
      <c r="F46" s="30" t="s">
        <v>19</v>
      </c>
      <c r="G46" s="31" t="s">
        <v>101</v>
      </c>
      <c r="H46" s="32">
        <v>0.14155000000000001</v>
      </c>
      <c r="I46" s="31"/>
      <c r="J46" s="33">
        <v>46266</v>
      </c>
      <c r="K46" s="32">
        <v>0</v>
      </c>
      <c r="L46" s="32"/>
      <c r="M46" s="32">
        <v>0</v>
      </c>
      <c r="N46" s="31"/>
      <c r="O46" s="34">
        <v>46156.544050925928</v>
      </c>
      <c r="P46" s="35" t="s">
        <v>72</v>
      </c>
      <c r="Q46" s="35" t="s">
        <v>79</v>
      </c>
      <c r="R46" s="33">
        <v>46306</v>
      </c>
      <c r="S46" s="30" t="s">
        <v>21</v>
      </c>
      <c r="T46" s="36">
        <v>45</v>
      </c>
      <c r="U46" s="30" t="s">
        <v>74</v>
      </c>
      <c r="V46" s="30" t="s">
        <v>73</v>
      </c>
    </row>
    <row r="47" spans="1:22" ht="30" hidden="1" x14ac:dyDescent="0.25">
      <c r="A47" s="30" t="s">
        <v>98</v>
      </c>
      <c r="B47" s="30" t="s">
        <v>64</v>
      </c>
      <c r="C47" s="30" t="s">
        <v>91</v>
      </c>
      <c r="D47" s="31" t="s">
        <v>99</v>
      </c>
      <c r="E47" s="30" t="s">
        <v>100</v>
      </c>
      <c r="F47" s="30" t="s">
        <v>19</v>
      </c>
      <c r="G47" s="31" t="s">
        <v>101</v>
      </c>
      <c r="H47" s="32">
        <v>0.141133333</v>
      </c>
      <c r="I47" s="31"/>
      <c r="J47" s="33">
        <v>46296</v>
      </c>
      <c r="K47" s="32">
        <v>0</v>
      </c>
      <c r="L47" s="32"/>
      <c r="M47" s="32">
        <v>0</v>
      </c>
      <c r="N47" s="31"/>
      <c r="O47" s="34">
        <v>46156.544120370374</v>
      </c>
      <c r="P47" s="35" t="s">
        <v>72</v>
      </c>
      <c r="Q47" s="35" t="s">
        <v>79</v>
      </c>
      <c r="R47" s="33">
        <v>46336</v>
      </c>
      <c r="S47" s="30" t="s">
        <v>21</v>
      </c>
      <c r="T47" s="36">
        <v>46</v>
      </c>
      <c r="U47" s="30" t="s">
        <v>74</v>
      </c>
      <c r="V47" s="30" t="s">
        <v>73</v>
      </c>
    </row>
    <row r="48" spans="1:22" ht="30" hidden="1" x14ac:dyDescent="0.25">
      <c r="A48" s="30" t="s">
        <v>98</v>
      </c>
      <c r="B48" s="30" t="s">
        <v>64</v>
      </c>
      <c r="C48" s="30" t="s">
        <v>91</v>
      </c>
      <c r="D48" s="31" t="s">
        <v>99</v>
      </c>
      <c r="E48" s="30" t="s">
        <v>100</v>
      </c>
      <c r="F48" s="30" t="s">
        <v>19</v>
      </c>
      <c r="G48" s="31" t="s">
        <v>101</v>
      </c>
      <c r="H48" s="32">
        <v>0.14071666699999999</v>
      </c>
      <c r="I48" s="31"/>
      <c r="J48" s="33">
        <v>46327</v>
      </c>
      <c r="K48" s="32">
        <v>0</v>
      </c>
      <c r="L48" s="32"/>
      <c r="M48" s="32">
        <v>0</v>
      </c>
      <c r="N48" s="31"/>
      <c r="O48" s="34">
        <v>46156.544224537036</v>
      </c>
      <c r="P48" s="35" t="s">
        <v>72</v>
      </c>
      <c r="Q48" s="35" t="s">
        <v>79</v>
      </c>
      <c r="R48" s="33">
        <v>46367</v>
      </c>
      <c r="S48" s="30" t="s">
        <v>21</v>
      </c>
      <c r="T48" s="36">
        <v>47</v>
      </c>
      <c r="U48" s="30" t="s">
        <v>74</v>
      </c>
      <c r="V48" s="30" t="s">
        <v>73</v>
      </c>
    </row>
    <row r="49" spans="1:22" ht="30" hidden="1" x14ac:dyDescent="0.25">
      <c r="A49" s="30" t="s">
        <v>98</v>
      </c>
      <c r="B49" s="30" t="s">
        <v>64</v>
      </c>
      <c r="C49" s="30" t="s">
        <v>91</v>
      </c>
      <c r="D49" s="31" t="s">
        <v>99</v>
      </c>
      <c r="E49" s="30" t="s">
        <v>100</v>
      </c>
      <c r="F49" s="30" t="s">
        <v>19</v>
      </c>
      <c r="G49" s="31" t="s">
        <v>101</v>
      </c>
      <c r="H49" s="32">
        <v>0.14030000000000001</v>
      </c>
      <c r="I49" s="31"/>
      <c r="J49" s="33">
        <v>46357</v>
      </c>
      <c r="K49" s="32">
        <v>0</v>
      </c>
      <c r="L49" s="32"/>
      <c r="M49" s="32">
        <v>0</v>
      </c>
      <c r="N49" s="31"/>
      <c r="O49" s="34">
        <v>46156.544351851851</v>
      </c>
      <c r="P49" s="35" t="s">
        <v>72</v>
      </c>
      <c r="Q49" s="35" t="s">
        <v>79</v>
      </c>
      <c r="R49" s="33">
        <v>46397</v>
      </c>
      <c r="S49" s="30" t="s">
        <v>21</v>
      </c>
      <c r="T49" s="36">
        <v>48</v>
      </c>
      <c r="U49" s="30" t="s">
        <v>74</v>
      </c>
      <c r="V49" s="30" t="s">
        <v>73</v>
      </c>
    </row>
    <row r="50" spans="1:22" ht="90" hidden="1" x14ac:dyDescent="0.25">
      <c r="A50" s="30" t="s">
        <v>110</v>
      </c>
      <c r="B50" s="30" t="s">
        <v>64</v>
      </c>
      <c r="C50" s="30" t="s">
        <v>91</v>
      </c>
      <c r="D50" s="31" t="s">
        <v>111</v>
      </c>
      <c r="E50" s="30" t="s">
        <v>100</v>
      </c>
      <c r="F50" s="30" t="s">
        <v>19</v>
      </c>
      <c r="G50" s="31" t="s">
        <v>112</v>
      </c>
      <c r="H50" s="32">
        <v>89555555.560000002</v>
      </c>
      <c r="I50" s="31"/>
      <c r="J50" s="33">
        <v>46023</v>
      </c>
      <c r="K50" s="32">
        <v>119377680.03</v>
      </c>
      <c r="L50" s="32">
        <v>1.333</v>
      </c>
      <c r="M50" s="32">
        <v>1</v>
      </c>
      <c r="N50" s="31" t="s">
        <v>113</v>
      </c>
      <c r="O50" s="34">
        <v>46155.772812499999</v>
      </c>
      <c r="P50" s="35" t="s">
        <v>103</v>
      </c>
      <c r="Q50" s="35" t="s">
        <v>70</v>
      </c>
      <c r="R50" s="33">
        <v>46063</v>
      </c>
      <c r="S50" s="30" t="s">
        <v>95</v>
      </c>
      <c r="T50" s="36">
        <v>49</v>
      </c>
      <c r="U50" s="30" t="s">
        <v>74</v>
      </c>
      <c r="V50" s="30" t="s">
        <v>73</v>
      </c>
    </row>
    <row r="51" spans="1:22" ht="90" hidden="1" x14ac:dyDescent="0.25">
      <c r="A51" s="30" t="s">
        <v>110</v>
      </c>
      <c r="B51" s="30" t="s">
        <v>64</v>
      </c>
      <c r="C51" s="30" t="s">
        <v>91</v>
      </c>
      <c r="D51" s="31" t="s">
        <v>111</v>
      </c>
      <c r="E51" s="30" t="s">
        <v>100</v>
      </c>
      <c r="F51" s="30" t="s">
        <v>19</v>
      </c>
      <c r="G51" s="31" t="s">
        <v>112</v>
      </c>
      <c r="H51" s="32">
        <v>179111111.11000001</v>
      </c>
      <c r="I51" s="31"/>
      <c r="J51" s="33">
        <v>46054</v>
      </c>
      <c r="K51" s="32">
        <v>222011430.58000001</v>
      </c>
      <c r="L51" s="32">
        <v>1.2395</v>
      </c>
      <c r="M51" s="32">
        <v>1</v>
      </c>
      <c r="N51" s="31" t="s">
        <v>114</v>
      </c>
      <c r="O51" s="34">
        <v>46155.773101851853</v>
      </c>
      <c r="P51" s="35" t="s">
        <v>103</v>
      </c>
      <c r="Q51" s="35" t="s">
        <v>70</v>
      </c>
      <c r="R51" s="33">
        <v>46094</v>
      </c>
      <c r="S51" s="30" t="s">
        <v>95</v>
      </c>
      <c r="T51" s="36">
        <v>50</v>
      </c>
      <c r="U51" s="30" t="s">
        <v>74</v>
      </c>
      <c r="V51" s="30" t="s">
        <v>73</v>
      </c>
    </row>
    <row r="52" spans="1:22" ht="90" hidden="1" x14ac:dyDescent="0.25">
      <c r="A52" s="30" t="s">
        <v>110</v>
      </c>
      <c r="B52" s="30" t="s">
        <v>64</v>
      </c>
      <c r="C52" s="30" t="s">
        <v>91</v>
      </c>
      <c r="D52" s="31" t="s">
        <v>111</v>
      </c>
      <c r="E52" s="30" t="s">
        <v>100</v>
      </c>
      <c r="F52" s="30" t="s">
        <v>19</v>
      </c>
      <c r="G52" s="31" t="s">
        <v>112</v>
      </c>
      <c r="H52" s="32">
        <v>268666666.67000002</v>
      </c>
      <c r="I52" s="31"/>
      <c r="J52" s="33">
        <v>46082</v>
      </c>
      <c r="K52" s="32">
        <v>336321887.69</v>
      </c>
      <c r="L52" s="32">
        <v>1.2518</v>
      </c>
      <c r="M52" s="32">
        <v>1</v>
      </c>
      <c r="N52" s="31" t="s">
        <v>115</v>
      </c>
      <c r="O52" s="34">
        <v>46155.773495370369</v>
      </c>
      <c r="P52" s="35" t="s">
        <v>103</v>
      </c>
      <c r="Q52" s="35" t="s">
        <v>70</v>
      </c>
      <c r="R52" s="33">
        <v>46122</v>
      </c>
      <c r="S52" s="30" t="s">
        <v>95</v>
      </c>
      <c r="T52" s="36">
        <v>51</v>
      </c>
      <c r="U52" s="30" t="s">
        <v>74</v>
      </c>
      <c r="V52" s="30" t="s">
        <v>73</v>
      </c>
    </row>
    <row r="53" spans="1:22" ht="210" hidden="1" x14ac:dyDescent="0.25">
      <c r="A53" s="30" t="s">
        <v>110</v>
      </c>
      <c r="B53" s="30" t="s">
        <v>64</v>
      </c>
      <c r="C53" s="30" t="s">
        <v>91</v>
      </c>
      <c r="D53" s="31" t="s">
        <v>111</v>
      </c>
      <c r="E53" s="30" t="s">
        <v>100</v>
      </c>
      <c r="F53" s="30" t="s">
        <v>19</v>
      </c>
      <c r="G53" s="31" t="s">
        <v>112</v>
      </c>
      <c r="H53" s="32">
        <v>358222222.22000003</v>
      </c>
      <c r="I53" s="31"/>
      <c r="J53" s="33">
        <v>46113</v>
      </c>
      <c r="K53" s="32">
        <v>448124522.39999998</v>
      </c>
      <c r="L53" s="32">
        <v>1.2509999999999999</v>
      </c>
      <c r="M53" s="32">
        <v>1</v>
      </c>
      <c r="N53" s="31" t="s">
        <v>116</v>
      </c>
      <c r="O53" s="34">
        <v>46204.39166666667</v>
      </c>
      <c r="P53" s="35" t="s">
        <v>103</v>
      </c>
      <c r="Q53" s="35" t="s">
        <v>70</v>
      </c>
      <c r="R53" s="33">
        <v>46153</v>
      </c>
      <c r="S53" s="30" t="s">
        <v>95</v>
      </c>
      <c r="T53" s="36">
        <v>52</v>
      </c>
      <c r="U53" s="30" t="s">
        <v>74</v>
      </c>
      <c r="V53" s="30" t="s">
        <v>73</v>
      </c>
    </row>
    <row r="54" spans="1:22" ht="210" hidden="1" x14ac:dyDescent="0.25">
      <c r="A54" s="30" t="s">
        <v>110</v>
      </c>
      <c r="B54" s="30" t="s">
        <v>64</v>
      </c>
      <c r="C54" s="30" t="s">
        <v>91</v>
      </c>
      <c r="D54" s="31" t="s">
        <v>111</v>
      </c>
      <c r="E54" s="30" t="s">
        <v>100</v>
      </c>
      <c r="F54" s="30" t="s">
        <v>19</v>
      </c>
      <c r="G54" s="31" t="s">
        <v>112</v>
      </c>
      <c r="H54" s="32">
        <v>447777777.77999997</v>
      </c>
      <c r="I54" s="31"/>
      <c r="J54" s="33">
        <v>46143</v>
      </c>
      <c r="K54" s="32">
        <v>562672034.99000001</v>
      </c>
      <c r="L54" s="32">
        <v>1.2565999999999999</v>
      </c>
      <c r="M54" s="32">
        <v>1</v>
      </c>
      <c r="N54" s="31" t="s">
        <v>117</v>
      </c>
      <c r="O54" s="34">
        <v>46204.391377314816</v>
      </c>
      <c r="P54" s="35" t="s">
        <v>103</v>
      </c>
      <c r="Q54" s="35" t="s">
        <v>70</v>
      </c>
      <c r="R54" s="33">
        <v>46183</v>
      </c>
      <c r="S54" s="30" t="s">
        <v>95</v>
      </c>
      <c r="T54" s="36">
        <v>53</v>
      </c>
      <c r="U54" s="30" t="s">
        <v>74</v>
      </c>
      <c r="V54" s="30" t="s">
        <v>73</v>
      </c>
    </row>
    <row r="55" spans="1:22" ht="135" hidden="1" x14ac:dyDescent="0.25">
      <c r="A55" s="30" t="s">
        <v>110</v>
      </c>
      <c r="B55" s="30" t="s">
        <v>64</v>
      </c>
      <c r="C55" s="30" t="s">
        <v>91</v>
      </c>
      <c r="D55" s="31" t="s">
        <v>111</v>
      </c>
      <c r="E55" s="30" t="s">
        <v>100</v>
      </c>
      <c r="F55" s="30" t="s">
        <v>19</v>
      </c>
      <c r="G55" s="31" t="s">
        <v>112</v>
      </c>
      <c r="H55" s="32">
        <v>537333333.33000004</v>
      </c>
      <c r="I55" s="31"/>
      <c r="J55" s="33">
        <v>46174</v>
      </c>
      <c r="K55" s="32">
        <v>671198521.49000001</v>
      </c>
      <c r="L55" s="32">
        <v>1.2491000000000001</v>
      </c>
      <c r="M55" s="32">
        <v>1</v>
      </c>
      <c r="N55" s="31" t="s">
        <v>118</v>
      </c>
      <c r="O55" s="34">
        <v>46219.806076388886</v>
      </c>
      <c r="P55" s="35" t="s">
        <v>103</v>
      </c>
      <c r="Q55" s="35" t="s">
        <v>70</v>
      </c>
      <c r="R55" s="33">
        <v>46214</v>
      </c>
      <c r="S55" s="30" t="s">
        <v>95</v>
      </c>
      <c r="T55" s="36">
        <v>54</v>
      </c>
      <c r="U55" s="30" t="s">
        <v>74</v>
      </c>
      <c r="V55" s="30" t="s">
        <v>73</v>
      </c>
    </row>
    <row r="56" spans="1:22" ht="135" hidden="1" x14ac:dyDescent="0.25">
      <c r="A56" s="30" t="s">
        <v>110</v>
      </c>
      <c r="B56" s="30" t="s">
        <v>64</v>
      </c>
      <c r="C56" s="30" t="s">
        <v>91</v>
      </c>
      <c r="D56" s="31" t="s">
        <v>111</v>
      </c>
      <c r="E56" s="30" t="s">
        <v>100</v>
      </c>
      <c r="F56" s="30" t="s">
        <v>19</v>
      </c>
      <c r="G56" s="31" t="s">
        <v>112</v>
      </c>
      <c r="H56" s="32">
        <v>626888888.88999999</v>
      </c>
      <c r="I56" s="31"/>
      <c r="J56" s="33">
        <v>46204</v>
      </c>
      <c r="K56" s="32">
        <v>780624977.57000005</v>
      </c>
      <c r="L56" s="32">
        <v>1.2452365824384199</v>
      </c>
      <c r="M56" s="32">
        <v>1</v>
      </c>
      <c r="N56" s="31" t="s">
        <v>119</v>
      </c>
      <c r="O56" s="34">
        <v>46258.607581018521</v>
      </c>
      <c r="P56" s="35" t="s">
        <v>120</v>
      </c>
      <c r="Q56" s="35" t="s">
        <v>79</v>
      </c>
      <c r="R56" s="33">
        <v>46244</v>
      </c>
      <c r="S56" s="30" t="s">
        <v>95</v>
      </c>
      <c r="T56" s="36">
        <v>55</v>
      </c>
      <c r="U56" s="30" t="s">
        <v>74</v>
      </c>
      <c r="V56" s="30" t="s">
        <v>73</v>
      </c>
    </row>
    <row r="57" spans="1:22" hidden="1" x14ac:dyDescent="0.25">
      <c r="A57" s="30" t="s">
        <v>110</v>
      </c>
      <c r="B57" s="30" t="s">
        <v>64</v>
      </c>
      <c r="C57" s="30" t="s">
        <v>91</v>
      </c>
      <c r="D57" s="31" t="s">
        <v>111</v>
      </c>
      <c r="E57" s="30" t="s">
        <v>100</v>
      </c>
      <c r="F57" s="30" t="s">
        <v>19</v>
      </c>
      <c r="G57" s="31" t="s">
        <v>112</v>
      </c>
      <c r="H57" s="32">
        <v>716444444.44000006</v>
      </c>
      <c r="I57" s="31"/>
      <c r="J57" s="33">
        <v>46235</v>
      </c>
      <c r="K57" s="32">
        <v>0</v>
      </c>
      <c r="L57" s="32"/>
      <c r="M57" s="32">
        <v>0</v>
      </c>
      <c r="N57" s="31"/>
      <c r="O57" s="34">
        <v>46155.755706018521</v>
      </c>
      <c r="P57" s="35" t="s">
        <v>72</v>
      </c>
      <c r="Q57" s="35" t="s">
        <v>79</v>
      </c>
      <c r="R57" s="33">
        <v>46275</v>
      </c>
      <c r="S57" s="30" t="s">
        <v>95</v>
      </c>
      <c r="T57" s="36">
        <v>56</v>
      </c>
      <c r="U57" s="30" t="s">
        <v>74</v>
      </c>
      <c r="V57" s="30" t="s">
        <v>73</v>
      </c>
    </row>
    <row r="58" spans="1:22" hidden="1" x14ac:dyDescent="0.25">
      <c r="A58" s="30" t="s">
        <v>110</v>
      </c>
      <c r="B58" s="30" t="s">
        <v>64</v>
      </c>
      <c r="C58" s="30" t="s">
        <v>91</v>
      </c>
      <c r="D58" s="31" t="s">
        <v>111</v>
      </c>
      <c r="E58" s="30" t="s">
        <v>100</v>
      </c>
      <c r="F58" s="30" t="s">
        <v>19</v>
      </c>
      <c r="G58" s="31" t="s">
        <v>112</v>
      </c>
      <c r="H58" s="32">
        <v>806000000</v>
      </c>
      <c r="I58" s="31"/>
      <c r="J58" s="33">
        <v>46266</v>
      </c>
      <c r="K58" s="32">
        <v>0</v>
      </c>
      <c r="L58" s="32"/>
      <c r="M58" s="32">
        <v>0</v>
      </c>
      <c r="N58" s="31"/>
      <c r="O58" s="34">
        <v>46155.75577546296</v>
      </c>
      <c r="P58" s="35" t="s">
        <v>72</v>
      </c>
      <c r="Q58" s="35" t="s">
        <v>79</v>
      </c>
      <c r="R58" s="33">
        <v>46306</v>
      </c>
      <c r="S58" s="30" t="s">
        <v>95</v>
      </c>
      <c r="T58" s="36">
        <v>57</v>
      </c>
      <c r="U58" s="30" t="s">
        <v>74</v>
      </c>
      <c r="V58" s="30" t="s">
        <v>73</v>
      </c>
    </row>
    <row r="59" spans="1:22" hidden="1" x14ac:dyDescent="0.25">
      <c r="A59" s="30" t="s">
        <v>110</v>
      </c>
      <c r="B59" s="30" t="s">
        <v>64</v>
      </c>
      <c r="C59" s="30" t="s">
        <v>91</v>
      </c>
      <c r="D59" s="31" t="s">
        <v>111</v>
      </c>
      <c r="E59" s="30" t="s">
        <v>100</v>
      </c>
      <c r="F59" s="30" t="s">
        <v>19</v>
      </c>
      <c r="G59" s="31" t="s">
        <v>112</v>
      </c>
      <c r="H59" s="32">
        <v>895555555.55999994</v>
      </c>
      <c r="I59" s="31"/>
      <c r="J59" s="33">
        <v>46296</v>
      </c>
      <c r="K59" s="32">
        <v>0</v>
      </c>
      <c r="L59" s="32"/>
      <c r="M59" s="32">
        <v>0</v>
      </c>
      <c r="N59" s="31"/>
      <c r="O59" s="34">
        <v>46155.755925925929</v>
      </c>
      <c r="P59" s="35" t="s">
        <v>72</v>
      </c>
      <c r="Q59" s="35" t="s">
        <v>79</v>
      </c>
      <c r="R59" s="33">
        <v>46336</v>
      </c>
      <c r="S59" s="30" t="s">
        <v>95</v>
      </c>
      <c r="T59" s="36">
        <v>58</v>
      </c>
      <c r="U59" s="30" t="s">
        <v>74</v>
      </c>
      <c r="V59" s="30" t="s">
        <v>73</v>
      </c>
    </row>
    <row r="60" spans="1:22" hidden="1" x14ac:dyDescent="0.25">
      <c r="A60" s="30" t="s">
        <v>110</v>
      </c>
      <c r="B60" s="30" t="s">
        <v>64</v>
      </c>
      <c r="C60" s="30" t="s">
        <v>91</v>
      </c>
      <c r="D60" s="31" t="s">
        <v>111</v>
      </c>
      <c r="E60" s="30" t="s">
        <v>100</v>
      </c>
      <c r="F60" s="30" t="s">
        <v>19</v>
      </c>
      <c r="G60" s="31" t="s">
        <v>112</v>
      </c>
      <c r="H60" s="32">
        <v>985111111.11000001</v>
      </c>
      <c r="I60" s="31"/>
      <c r="J60" s="33">
        <v>46327</v>
      </c>
      <c r="K60" s="32">
        <v>0</v>
      </c>
      <c r="L60" s="32"/>
      <c r="M60" s="32">
        <v>0</v>
      </c>
      <c r="N60" s="31"/>
      <c r="O60" s="34">
        <v>46155.75608796296</v>
      </c>
      <c r="P60" s="35" t="s">
        <v>72</v>
      </c>
      <c r="Q60" s="35" t="s">
        <v>79</v>
      </c>
      <c r="R60" s="33">
        <v>46367</v>
      </c>
      <c r="S60" s="30" t="s">
        <v>95</v>
      </c>
      <c r="T60" s="36">
        <v>59</v>
      </c>
      <c r="U60" s="30" t="s">
        <v>74</v>
      </c>
      <c r="V60" s="30" t="s">
        <v>73</v>
      </c>
    </row>
    <row r="61" spans="1:22" hidden="1" x14ac:dyDescent="0.25">
      <c r="A61" s="30" t="s">
        <v>110</v>
      </c>
      <c r="B61" s="30" t="s">
        <v>64</v>
      </c>
      <c r="C61" s="30" t="s">
        <v>91</v>
      </c>
      <c r="D61" s="31" t="s">
        <v>111</v>
      </c>
      <c r="E61" s="30" t="s">
        <v>100</v>
      </c>
      <c r="F61" s="30" t="s">
        <v>19</v>
      </c>
      <c r="G61" s="31" t="s">
        <v>112</v>
      </c>
      <c r="H61" s="32">
        <v>1209000000</v>
      </c>
      <c r="I61" s="31"/>
      <c r="J61" s="33">
        <v>46357</v>
      </c>
      <c r="K61" s="32">
        <v>0</v>
      </c>
      <c r="L61" s="32"/>
      <c r="M61" s="32">
        <v>0</v>
      </c>
      <c r="N61" s="31"/>
      <c r="O61" s="34">
        <v>46155.756180555552</v>
      </c>
      <c r="P61" s="35" t="s">
        <v>72</v>
      </c>
      <c r="Q61" s="35" t="s">
        <v>79</v>
      </c>
      <c r="R61" s="33">
        <v>46397</v>
      </c>
      <c r="S61" s="30" t="s">
        <v>95</v>
      </c>
      <c r="T61" s="36">
        <v>60</v>
      </c>
      <c r="U61" s="30" t="s">
        <v>74</v>
      </c>
      <c r="V61" s="30" t="s">
        <v>73</v>
      </c>
    </row>
    <row r="62" spans="1:22" ht="45" hidden="1" x14ac:dyDescent="0.25">
      <c r="A62" s="30" t="s">
        <v>121</v>
      </c>
      <c r="B62" s="30" t="s">
        <v>64</v>
      </c>
      <c r="C62" s="30" t="s">
        <v>122</v>
      </c>
      <c r="D62" s="31" t="s">
        <v>123</v>
      </c>
      <c r="E62" s="30" t="s">
        <v>67</v>
      </c>
      <c r="F62" s="30" t="s">
        <v>18</v>
      </c>
      <c r="G62" s="31" t="s">
        <v>124</v>
      </c>
      <c r="H62" s="32">
        <v>0</v>
      </c>
      <c r="I62" s="31"/>
      <c r="J62" s="33">
        <v>46023</v>
      </c>
      <c r="K62" s="32">
        <v>0</v>
      </c>
      <c r="L62" s="32">
        <v>0</v>
      </c>
      <c r="M62" s="32">
        <v>0</v>
      </c>
      <c r="N62" s="31" t="s">
        <v>125</v>
      </c>
      <c r="O62" s="34">
        <v>46129.695173611108</v>
      </c>
      <c r="P62" s="35" t="s">
        <v>87</v>
      </c>
      <c r="Q62" s="35" t="s">
        <v>70</v>
      </c>
      <c r="R62" s="33">
        <v>46063</v>
      </c>
      <c r="S62" s="30" t="s">
        <v>21</v>
      </c>
      <c r="T62" s="36">
        <v>61</v>
      </c>
      <c r="U62" s="30" t="s">
        <v>74</v>
      </c>
      <c r="V62" s="30" t="s">
        <v>73</v>
      </c>
    </row>
    <row r="63" spans="1:22" ht="45" hidden="1" x14ac:dyDescent="0.25">
      <c r="A63" s="30" t="s">
        <v>121</v>
      </c>
      <c r="B63" s="30" t="s">
        <v>64</v>
      </c>
      <c r="C63" s="30" t="s">
        <v>122</v>
      </c>
      <c r="D63" s="31" t="s">
        <v>123</v>
      </c>
      <c r="E63" s="30" t="s">
        <v>67</v>
      </c>
      <c r="F63" s="30" t="s">
        <v>18</v>
      </c>
      <c r="G63" s="31" t="s">
        <v>124</v>
      </c>
      <c r="H63" s="32">
        <v>0</v>
      </c>
      <c r="I63" s="31"/>
      <c r="J63" s="33">
        <v>46054</v>
      </c>
      <c r="K63" s="32">
        <v>0</v>
      </c>
      <c r="L63" s="32">
        <v>0</v>
      </c>
      <c r="M63" s="32">
        <v>0</v>
      </c>
      <c r="N63" s="31" t="s">
        <v>126</v>
      </c>
      <c r="O63" s="34">
        <v>46129.6953125</v>
      </c>
      <c r="P63" s="35" t="s">
        <v>87</v>
      </c>
      <c r="Q63" s="35" t="s">
        <v>70</v>
      </c>
      <c r="R63" s="33">
        <v>46094</v>
      </c>
      <c r="S63" s="30" t="s">
        <v>21</v>
      </c>
      <c r="T63" s="36">
        <v>62</v>
      </c>
      <c r="U63" s="30" t="s">
        <v>74</v>
      </c>
      <c r="V63" s="30" t="s">
        <v>73</v>
      </c>
    </row>
    <row r="64" spans="1:22" ht="75" hidden="1" x14ac:dyDescent="0.25">
      <c r="A64" s="30" t="s">
        <v>121</v>
      </c>
      <c r="B64" s="30" t="s">
        <v>64</v>
      </c>
      <c r="C64" s="30" t="s">
        <v>122</v>
      </c>
      <c r="D64" s="31" t="s">
        <v>123</v>
      </c>
      <c r="E64" s="30" t="s">
        <v>67</v>
      </c>
      <c r="F64" s="30" t="s">
        <v>18</v>
      </c>
      <c r="G64" s="31" t="s">
        <v>124</v>
      </c>
      <c r="H64" s="32">
        <v>0</v>
      </c>
      <c r="I64" s="31"/>
      <c r="J64" s="33">
        <v>46082</v>
      </c>
      <c r="K64" s="32">
        <v>0</v>
      </c>
      <c r="L64" s="32">
        <v>0</v>
      </c>
      <c r="M64" s="32">
        <v>0</v>
      </c>
      <c r="N64" s="31" t="s">
        <v>127</v>
      </c>
      <c r="O64" s="34">
        <v>46129.695428240739</v>
      </c>
      <c r="P64" s="35" t="s">
        <v>87</v>
      </c>
      <c r="Q64" s="35" t="s">
        <v>70</v>
      </c>
      <c r="R64" s="33">
        <v>46122</v>
      </c>
      <c r="S64" s="30" t="s">
        <v>21</v>
      </c>
      <c r="T64" s="36">
        <v>63</v>
      </c>
      <c r="U64" s="30" t="s">
        <v>74</v>
      </c>
      <c r="V64" s="30" t="s">
        <v>73</v>
      </c>
    </row>
    <row r="65" spans="1:22" ht="75" hidden="1" x14ac:dyDescent="0.25">
      <c r="A65" s="30" t="s">
        <v>121</v>
      </c>
      <c r="B65" s="30" t="s">
        <v>64</v>
      </c>
      <c r="C65" s="30" t="s">
        <v>122</v>
      </c>
      <c r="D65" s="31" t="s">
        <v>123</v>
      </c>
      <c r="E65" s="30" t="s">
        <v>67</v>
      </c>
      <c r="F65" s="30" t="s">
        <v>18</v>
      </c>
      <c r="G65" s="31" t="s">
        <v>124</v>
      </c>
      <c r="H65" s="32">
        <v>0</v>
      </c>
      <c r="I65" s="31"/>
      <c r="J65" s="33">
        <v>46113</v>
      </c>
      <c r="K65" s="32">
        <v>11.11</v>
      </c>
      <c r="L65" s="32">
        <v>0</v>
      </c>
      <c r="M65" s="32">
        <v>0</v>
      </c>
      <c r="N65" s="31" t="s">
        <v>128</v>
      </c>
      <c r="O65" s="34">
        <v>46219.853182870371</v>
      </c>
      <c r="P65" s="35" t="s">
        <v>76</v>
      </c>
      <c r="Q65" s="35" t="s">
        <v>79</v>
      </c>
      <c r="R65" s="33">
        <v>46153</v>
      </c>
      <c r="S65" s="30" t="s">
        <v>21</v>
      </c>
      <c r="T65" s="36">
        <v>64</v>
      </c>
      <c r="U65" s="30" t="s">
        <v>74</v>
      </c>
      <c r="V65" s="30" t="s">
        <v>73</v>
      </c>
    </row>
    <row r="66" spans="1:22" ht="75" hidden="1" x14ac:dyDescent="0.25">
      <c r="A66" s="30" t="s">
        <v>121</v>
      </c>
      <c r="B66" s="30" t="s">
        <v>64</v>
      </c>
      <c r="C66" s="30" t="s">
        <v>122</v>
      </c>
      <c r="D66" s="31" t="s">
        <v>123</v>
      </c>
      <c r="E66" s="30" t="s">
        <v>67</v>
      </c>
      <c r="F66" s="30" t="s">
        <v>18</v>
      </c>
      <c r="G66" s="31" t="s">
        <v>124</v>
      </c>
      <c r="H66" s="32">
        <v>0</v>
      </c>
      <c r="I66" s="31"/>
      <c r="J66" s="33">
        <v>46143</v>
      </c>
      <c r="K66" s="32">
        <v>11.11</v>
      </c>
      <c r="L66" s="32">
        <v>0</v>
      </c>
      <c r="M66" s="32">
        <v>0</v>
      </c>
      <c r="N66" s="31" t="s">
        <v>128</v>
      </c>
      <c r="O66" s="34">
        <v>46219.854675925926</v>
      </c>
      <c r="P66" s="35" t="s">
        <v>76</v>
      </c>
      <c r="Q66" s="35" t="s">
        <v>79</v>
      </c>
      <c r="R66" s="33">
        <v>46183</v>
      </c>
      <c r="S66" s="30" t="s">
        <v>21</v>
      </c>
      <c r="T66" s="36">
        <v>65</v>
      </c>
      <c r="U66" s="30" t="s">
        <v>74</v>
      </c>
      <c r="V66" s="30" t="s">
        <v>73</v>
      </c>
    </row>
    <row r="67" spans="1:22" ht="75" hidden="1" x14ac:dyDescent="0.25">
      <c r="A67" s="30" t="s">
        <v>121</v>
      </c>
      <c r="B67" s="30" t="s">
        <v>64</v>
      </c>
      <c r="C67" s="30" t="s">
        <v>122</v>
      </c>
      <c r="D67" s="31" t="s">
        <v>123</v>
      </c>
      <c r="E67" s="30" t="s">
        <v>67</v>
      </c>
      <c r="F67" s="30" t="s">
        <v>18</v>
      </c>
      <c r="G67" s="31" t="s">
        <v>124</v>
      </c>
      <c r="H67" s="32">
        <v>0</v>
      </c>
      <c r="I67" s="31"/>
      <c r="J67" s="33">
        <v>46174</v>
      </c>
      <c r="K67" s="32">
        <v>11.11</v>
      </c>
      <c r="L67" s="32">
        <v>0</v>
      </c>
      <c r="M67" s="32">
        <v>0</v>
      </c>
      <c r="N67" s="31" t="s">
        <v>128</v>
      </c>
      <c r="O67" s="34">
        <v>46219.854953703703</v>
      </c>
      <c r="P67" s="35" t="s">
        <v>76</v>
      </c>
      <c r="Q67" s="35" t="s">
        <v>79</v>
      </c>
      <c r="R67" s="33">
        <v>46214</v>
      </c>
      <c r="S67" s="30" t="s">
        <v>21</v>
      </c>
      <c r="T67" s="36">
        <v>66</v>
      </c>
      <c r="U67" s="30" t="s">
        <v>74</v>
      </c>
      <c r="V67" s="30" t="s">
        <v>73</v>
      </c>
    </row>
    <row r="68" spans="1:22" hidden="1" x14ac:dyDescent="0.25">
      <c r="A68" s="30" t="s">
        <v>121</v>
      </c>
      <c r="B68" s="30" t="s">
        <v>64</v>
      </c>
      <c r="C68" s="30" t="s">
        <v>122</v>
      </c>
      <c r="D68" s="31" t="s">
        <v>123</v>
      </c>
      <c r="E68" s="30" t="s">
        <v>67</v>
      </c>
      <c r="F68" s="30" t="s">
        <v>18</v>
      </c>
      <c r="G68" s="31" t="s">
        <v>124</v>
      </c>
      <c r="H68" s="32">
        <v>0</v>
      </c>
      <c r="I68" s="31"/>
      <c r="J68" s="33">
        <v>46204</v>
      </c>
      <c r="K68" s="32">
        <v>0</v>
      </c>
      <c r="L68" s="32"/>
      <c r="M68" s="32">
        <v>0</v>
      </c>
      <c r="N68" s="31"/>
      <c r="O68" s="34">
        <v>46100.749641203707</v>
      </c>
      <c r="P68" s="35" t="s">
        <v>72</v>
      </c>
      <c r="Q68" s="35" t="s">
        <v>79</v>
      </c>
      <c r="R68" s="33">
        <v>46244</v>
      </c>
      <c r="S68" s="30" t="s">
        <v>21</v>
      </c>
      <c r="T68" s="36">
        <v>67</v>
      </c>
      <c r="U68" s="30" t="s">
        <v>74</v>
      </c>
      <c r="V68" s="30" t="s">
        <v>73</v>
      </c>
    </row>
    <row r="69" spans="1:22" hidden="1" x14ac:dyDescent="0.25">
      <c r="A69" s="30" t="s">
        <v>121</v>
      </c>
      <c r="B69" s="30" t="s">
        <v>64</v>
      </c>
      <c r="C69" s="30" t="s">
        <v>122</v>
      </c>
      <c r="D69" s="31" t="s">
        <v>123</v>
      </c>
      <c r="E69" s="30" t="s">
        <v>67</v>
      </c>
      <c r="F69" s="30" t="s">
        <v>18</v>
      </c>
      <c r="G69" s="31" t="s">
        <v>124</v>
      </c>
      <c r="H69" s="32">
        <v>0</v>
      </c>
      <c r="I69" s="31"/>
      <c r="J69" s="33">
        <v>46235</v>
      </c>
      <c r="K69" s="32">
        <v>0</v>
      </c>
      <c r="L69" s="32"/>
      <c r="M69" s="32">
        <v>0</v>
      </c>
      <c r="N69" s="31"/>
      <c r="O69" s="34">
        <v>46100.749641203707</v>
      </c>
      <c r="P69" s="35" t="s">
        <v>72</v>
      </c>
      <c r="Q69" s="35" t="s">
        <v>79</v>
      </c>
      <c r="R69" s="33">
        <v>46275</v>
      </c>
      <c r="S69" s="30" t="s">
        <v>21</v>
      </c>
      <c r="T69" s="36">
        <v>68</v>
      </c>
      <c r="U69" s="30" t="s">
        <v>74</v>
      </c>
      <c r="V69" s="30" t="s">
        <v>73</v>
      </c>
    </row>
    <row r="70" spans="1:22" hidden="1" x14ac:dyDescent="0.25">
      <c r="A70" s="30" t="s">
        <v>121</v>
      </c>
      <c r="B70" s="30" t="s">
        <v>64</v>
      </c>
      <c r="C70" s="30" t="s">
        <v>122</v>
      </c>
      <c r="D70" s="31" t="s">
        <v>123</v>
      </c>
      <c r="E70" s="30" t="s">
        <v>67</v>
      </c>
      <c r="F70" s="30" t="s">
        <v>18</v>
      </c>
      <c r="G70" s="31" t="s">
        <v>124</v>
      </c>
      <c r="H70" s="32">
        <v>0</v>
      </c>
      <c r="I70" s="31"/>
      <c r="J70" s="33">
        <v>46266</v>
      </c>
      <c r="K70" s="32">
        <v>0</v>
      </c>
      <c r="L70" s="32"/>
      <c r="M70" s="32">
        <v>0</v>
      </c>
      <c r="N70" s="31"/>
      <c r="O70" s="34">
        <v>46100.749641203707</v>
      </c>
      <c r="P70" s="35" t="s">
        <v>72</v>
      </c>
      <c r="Q70" s="35" t="s">
        <v>79</v>
      </c>
      <c r="R70" s="33">
        <v>46306</v>
      </c>
      <c r="S70" s="30" t="s">
        <v>21</v>
      </c>
      <c r="T70" s="36">
        <v>69</v>
      </c>
      <c r="U70" s="30" t="s">
        <v>74</v>
      </c>
      <c r="V70" s="30" t="s">
        <v>73</v>
      </c>
    </row>
    <row r="71" spans="1:22" hidden="1" x14ac:dyDescent="0.25">
      <c r="A71" s="30" t="s">
        <v>121</v>
      </c>
      <c r="B71" s="30" t="s">
        <v>64</v>
      </c>
      <c r="C71" s="30" t="s">
        <v>122</v>
      </c>
      <c r="D71" s="31" t="s">
        <v>123</v>
      </c>
      <c r="E71" s="30" t="s">
        <v>67</v>
      </c>
      <c r="F71" s="30" t="s">
        <v>18</v>
      </c>
      <c r="G71" s="31" t="s">
        <v>124</v>
      </c>
      <c r="H71" s="32">
        <v>0</v>
      </c>
      <c r="I71" s="31"/>
      <c r="J71" s="33">
        <v>46296</v>
      </c>
      <c r="K71" s="32">
        <v>0</v>
      </c>
      <c r="L71" s="32"/>
      <c r="M71" s="32">
        <v>0</v>
      </c>
      <c r="N71" s="31"/>
      <c r="O71" s="34">
        <v>46100.749641203707</v>
      </c>
      <c r="P71" s="35" t="s">
        <v>72</v>
      </c>
      <c r="Q71" s="35" t="s">
        <v>79</v>
      </c>
      <c r="R71" s="33">
        <v>46336</v>
      </c>
      <c r="S71" s="30" t="s">
        <v>21</v>
      </c>
      <c r="T71" s="36">
        <v>70</v>
      </c>
      <c r="U71" s="30" t="s">
        <v>74</v>
      </c>
      <c r="V71" s="30" t="s">
        <v>73</v>
      </c>
    </row>
    <row r="72" spans="1:22" hidden="1" x14ac:dyDescent="0.25">
      <c r="A72" s="30" t="s">
        <v>121</v>
      </c>
      <c r="B72" s="30" t="s">
        <v>64</v>
      </c>
      <c r="C72" s="30" t="s">
        <v>122</v>
      </c>
      <c r="D72" s="31" t="s">
        <v>123</v>
      </c>
      <c r="E72" s="30" t="s">
        <v>67</v>
      </c>
      <c r="F72" s="30" t="s">
        <v>18</v>
      </c>
      <c r="G72" s="31" t="s">
        <v>124</v>
      </c>
      <c r="H72" s="32">
        <v>0</v>
      </c>
      <c r="I72" s="31"/>
      <c r="J72" s="33">
        <v>46327</v>
      </c>
      <c r="K72" s="32">
        <v>0</v>
      </c>
      <c r="L72" s="32"/>
      <c r="M72" s="32">
        <v>0</v>
      </c>
      <c r="N72" s="31"/>
      <c r="O72" s="34">
        <v>46100.749641203707</v>
      </c>
      <c r="P72" s="35" t="s">
        <v>72</v>
      </c>
      <c r="Q72" s="35" t="s">
        <v>79</v>
      </c>
      <c r="R72" s="33">
        <v>46367</v>
      </c>
      <c r="S72" s="30" t="s">
        <v>21</v>
      </c>
      <c r="T72" s="36">
        <v>71</v>
      </c>
      <c r="U72" s="30" t="s">
        <v>74</v>
      </c>
      <c r="V72" s="30" t="s">
        <v>73</v>
      </c>
    </row>
    <row r="73" spans="1:22" hidden="1" x14ac:dyDescent="0.25">
      <c r="A73" s="30" t="s">
        <v>121</v>
      </c>
      <c r="B73" s="30" t="s">
        <v>64</v>
      </c>
      <c r="C73" s="30" t="s">
        <v>122</v>
      </c>
      <c r="D73" s="31" t="s">
        <v>123</v>
      </c>
      <c r="E73" s="30" t="s">
        <v>67</v>
      </c>
      <c r="F73" s="30" t="s">
        <v>18</v>
      </c>
      <c r="G73" s="31" t="s">
        <v>124</v>
      </c>
      <c r="H73" s="32">
        <v>1</v>
      </c>
      <c r="I73" s="31"/>
      <c r="J73" s="33">
        <v>46357</v>
      </c>
      <c r="K73" s="32">
        <v>0</v>
      </c>
      <c r="L73" s="32"/>
      <c r="M73" s="32">
        <v>0</v>
      </c>
      <c r="N73" s="31"/>
      <c r="O73" s="34">
        <v>46100.749641203707</v>
      </c>
      <c r="P73" s="35" t="s">
        <v>72</v>
      </c>
      <c r="Q73" s="35" t="s">
        <v>79</v>
      </c>
      <c r="R73" s="33">
        <v>46397</v>
      </c>
      <c r="S73" s="30" t="s">
        <v>21</v>
      </c>
      <c r="T73" s="36">
        <v>72</v>
      </c>
      <c r="U73" s="30" t="s">
        <v>74</v>
      </c>
      <c r="V73" s="30" t="s">
        <v>73</v>
      </c>
    </row>
    <row r="74" spans="1:22" ht="255" hidden="1" x14ac:dyDescent="0.25">
      <c r="A74" s="30" t="s">
        <v>129</v>
      </c>
      <c r="B74" s="30" t="s">
        <v>64</v>
      </c>
      <c r="C74" s="30" t="s">
        <v>130</v>
      </c>
      <c r="D74" s="31" t="s">
        <v>131</v>
      </c>
      <c r="E74" s="30" t="s">
        <v>132</v>
      </c>
      <c r="F74" s="30" t="s">
        <v>15</v>
      </c>
      <c r="G74" s="31" t="s">
        <v>133</v>
      </c>
      <c r="H74" s="32">
        <v>0</v>
      </c>
      <c r="I74" s="31"/>
      <c r="J74" s="33">
        <v>46023</v>
      </c>
      <c r="K74" s="32">
        <v>0</v>
      </c>
      <c r="L74" s="32">
        <v>0</v>
      </c>
      <c r="M74" s="32">
        <v>0</v>
      </c>
      <c r="N74" s="31" t="s">
        <v>134</v>
      </c>
      <c r="O74" s="34">
        <v>46128.689456018517</v>
      </c>
      <c r="P74" s="35" t="s">
        <v>135</v>
      </c>
      <c r="Q74" s="35" t="s">
        <v>70</v>
      </c>
      <c r="R74" s="33">
        <v>46063</v>
      </c>
      <c r="S74" s="30" t="s">
        <v>85</v>
      </c>
      <c r="T74" s="36">
        <v>73</v>
      </c>
      <c r="U74" s="30" t="s">
        <v>74</v>
      </c>
      <c r="V74" s="30" t="s">
        <v>73</v>
      </c>
    </row>
    <row r="75" spans="1:22" ht="210" hidden="1" x14ac:dyDescent="0.25">
      <c r="A75" s="30" t="s">
        <v>129</v>
      </c>
      <c r="B75" s="30" t="s">
        <v>64</v>
      </c>
      <c r="C75" s="30" t="s">
        <v>130</v>
      </c>
      <c r="D75" s="31" t="s">
        <v>131</v>
      </c>
      <c r="E75" s="30" t="s">
        <v>132</v>
      </c>
      <c r="F75" s="30" t="s">
        <v>15</v>
      </c>
      <c r="G75" s="31" t="s">
        <v>133</v>
      </c>
      <c r="H75" s="32">
        <v>0</v>
      </c>
      <c r="I75" s="31"/>
      <c r="J75" s="33">
        <v>46054</v>
      </c>
      <c r="K75" s="32">
        <v>0</v>
      </c>
      <c r="L75" s="32">
        <v>0</v>
      </c>
      <c r="M75" s="32">
        <v>0</v>
      </c>
      <c r="N75" s="31" t="s">
        <v>136</v>
      </c>
      <c r="O75" s="34">
        <v>46128.68990740741</v>
      </c>
      <c r="P75" s="35" t="s">
        <v>135</v>
      </c>
      <c r="Q75" s="35" t="s">
        <v>70</v>
      </c>
      <c r="R75" s="33">
        <v>46094</v>
      </c>
      <c r="S75" s="30" t="s">
        <v>85</v>
      </c>
      <c r="T75" s="36">
        <v>74</v>
      </c>
      <c r="U75" s="30" t="s">
        <v>74</v>
      </c>
      <c r="V75" s="30" t="s">
        <v>73</v>
      </c>
    </row>
    <row r="76" spans="1:22" ht="60" hidden="1" x14ac:dyDescent="0.25">
      <c r="A76" s="30" t="s">
        <v>129</v>
      </c>
      <c r="B76" s="30" t="s">
        <v>64</v>
      </c>
      <c r="C76" s="30" t="s">
        <v>130</v>
      </c>
      <c r="D76" s="31" t="s">
        <v>131</v>
      </c>
      <c r="E76" s="30" t="s">
        <v>132</v>
      </c>
      <c r="F76" s="30" t="s">
        <v>15</v>
      </c>
      <c r="G76" s="31" t="s">
        <v>133</v>
      </c>
      <c r="H76" s="32">
        <v>0</v>
      </c>
      <c r="I76" s="31"/>
      <c r="J76" s="33">
        <v>46082</v>
      </c>
      <c r="K76" s="32">
        <v>0</v>
      </c>
      <c r="L76" s="32">
        <v>0</v>
      </c>
      <c r="M76" s="32">
        <v>0</v>
      </c>
      <c r="N76" s="31" t="s">
        <v>137</v>
      </c>
      <c r="O76" s="34">
        <v>46128.690254629626</v>
      </c>
      <c r="P76" s="35" t="s">
        <v>135</v>
      </c>
      <c r="Q76" s="35" t="s">
        <v>70</v>
      </c>
      <c r="R76" s="33">
        <v>46122</v>
      </c>
      <c r="S76" s="30" t="s">
        <v>85</v>
      </c>
      <c r="T76" s="36">
        <v>75</v>
      </c>
      <c r="U76" s="30" t="s">
        <v>74</v>
      </c>
      <c r="V76" s="30" t="s">
        <v>73</v>
      </c>
    </row>
    <row r="77" spans="1:22" ht="60" hidden="1" x14ac:dyDescent="0.25">
      <c r="A77" s="30" t="s">
        <v>129</v>
      </c>
      <c r="B77" s="30" t="s">
        <v>64</v>
      </c>
      <c r="C77" s="30" t="s">
        <v>130</v>
      </c>
      <c r="D77" s="31" t="s">
        <v>131</v>
      </c>
      <c r="E77" s="30" t="s">
        <v>132</v>
      </c>
      <c r="F77" s="30" t="s">
        <v>15</v>
      </c>
      <c r="G77" s="31" t="s">
        <v>133</v>
      </c>
      <c r="H77" s="32">
        <v>0</v>
      </c>
      <c r="I77" s="31"/>
      <c r="J77" s="33">
        <v>46113</v>
      </c>
      <c r="K77" s="32">
        <v>0</v>
      </c>
      <c r="L77" s="32">
        <v>0</v>
      </c>
      <c r="M77" s="32">
        <v>0</v>
      </c>
      <c r="N77" s="31" t="s">
        <v>138</v>
      </c>
      <c r="O77" s="34">
        <v>46164.649004629631</v>
      </c>
      <c r="P77" s="35" t="s">
        <v>139</v>
      </c>
      <c r="Q77" s="35" t="s">
        <v>79</v>
      </c>
      <c r="R77" s="33">
        <v>46153</v>
      </c>
      <c r="S77" s="30" t="s">
        <v>85</v>
      </c>
      <c r="T77" s="36">
        <v>76</v>
      </c>
      <c r="U77" s="30" t="s">
        <v>74</v>
      </c>
      <c r="V77" s="30" t="s">
        <v>73</v>
      </c>
    </row>
    <row r="78" spans="1:22" ht="30" hidden="1" x14ac:dyDescent="0.25">
      <c r="A78" s="30" t="s">
        <v>129</v>
      </c>
      <c r="B78" s="30" t="s">
        <v>64</v>
      </c>
      <c r="C78" s="30" t="s">
        <v>130</v>
      </c>
      <c r="D78" s="31" t="s">
        <v>131</v>
      </c>
      <c r="E78" s="30" t="s">
        <v>132</v>
      </c>
      <c r="F78" s="30" t="s">
        <v>15</v>
      </c>
      <c r="G78" s="31" t="s">
        <v>133</v>
      </c>
      <c r="H78" s="32">
        <v>0</v>
      </c>
      <c r="I78" s="31"/>
      <c r="J78" s="33">
        <v>46143</v>
      </c>
      <c r="K78" s="32">
        <v>0</v>
      </c>
      <c r="L78" s="32">
        <v>0</v>
      </c>
      <c r="M78" s="32">
        <v>0</v>
      </c>
      <c r="N78" s="31" t="s">
        <v>140</v>
      </c>
      <c r="O78" s="34">
        <v>46164.65011574074</v>
      </c>
      <c r="P78" s="35" t="s">
        <v>139</v>
      </c>
      <c r="Q78" s="35" t="s">
        <v>79</v>
      </c>
      <c r="R78" s="33">
        <v>46183</v>
      </c>
      <c r="S78" s="30" t="s">
        <v>85</v>
      </c>
      <c r="T78" s="36">
        <v>77</v>
      </c>
      <c r="U78" s="30" t="s">
        <v>74</v>
      </c>
      <c r="V78" s="30" t="s">
        <v>73</v>
      </c>
    </row>
    <row r="79" spans="1:22" ht="105" hidden="1" x14ac:dyDescent="0.25">
      <c r="A79" s="30" t="s">
        <v>129</v>
      </c>
      <c r="B79" s="30" t="s">
        <v>64</v>
      </c>
      <c r="C79" s="30" t="s">
        <v>130</v>
      </c>
      <c r="D79" s="31" t="s">
        <v>131</v>
      </c>
      <c r="E79" s="30" t="s">
        <v>132</v>
      </c>
      <c r="F79" s="30" t="s">
        <v>15</v>
      </c>
      <c r="G79" s="31" t="s">
        <v>133</v>
      </c>
      <c r="H79" s="32">
        <v>0</v>
      </c>
      <c r="I79" s="31"/>
      <c r="J79" s="33">
        <v>46174</v>
      </c>
      <c r="K79" s="32">
        <v>0</v>
      </c>
      <c r="L79" s="32">
        <v>0</v>
      </c>
      <c r="M79" s="32">
        <v>0</v>
      </c>
      <c r="N79" s="31" t="s">
        <v>141</v>
      </c>
      <c r="O79" s="34">
        <v>46220.461527777778</v>
      </c>
      <c r="P79" s="35" t="s">
        <v>135</v>
      </c>
      <c r="Q79" s="35" t="s">
        <v>70</v>
      </c>
      <c r="R79" s="33">
        <v>46214</v>
      </c>
      <c r="S79" s="30" t="s">
        <v>85</v>
      </c>
      <c r="T79" s="36">
        <v>78</v>
      </c>
      <c r="U79" s="30" t="s">
        <v>74</v>
      </c>
      <c r="V79" s="30" t="s">
        <v>73</v>
      </c>
    </row>
    <row r="80" spans="1:22" hidden="1" x14ac:dyDescent="0.25">
      <c r="A80" s="30" t="s">
        <v>129</v>
      </c>
      <c r="B80" s="30" t="s">
        <v>64</v>
      </c>
      <c r="C80" s="30" t="s">
        <v>130</v>
      </c>
      <c r="D80" s="31" t="s">
        <v>131</v>
      </c>
      <c r="E80" s="30" t="s">
        <v>132</v>
      </c>
      <c r="F80" s="30" t="s">
        <v>15</v>
      </c>
      <c r="G80" s="31" t="s">
        <v>133</v>
      </c>
      <c r="H80" s="32">
        <v>0</v>
      </c>
      <c r="I80" s="31"/>
      <c r="J80" s="33">
        <v>46204</v>
      </c>
      <c r="K80" s="32">
        <v>0</v>
      </c>
      <c r="L80" s="32"/>
      <c r="M80" s="32">
        <v>0</v>
      </c>
      <c r="N80" s="31"/>
      <c r="O80" s="34">
        <v>46100.749652777777</v>
      </c>
      <c r="P80" s="35" t="s">
        <v>72</v>
      </c>
      <c r="Q80" s="35" t="s">
        <v>79</v>
      </c>
      <c r="R80" s="33">
        <v>46244</v>
      </c>
      <c r="S80" s="30" t="s">
        <v>85</v>
      </c>
      <c r="T80" s="36">
        <v>79</v>
      </c>
      <c r="U80" s="30" t="s">
        <v>74</v>
      </c>
      <c r="V80" s="30" t="s">
        <v>73</v>
      </c>
    </row>
    <row r="81" spans="1:22" hidden="1" x14ac:dyDescent="0.25">
      <c r="A81" s="30" t="s">
        <v>129</v>
      </c>
      <c r="B81" s="30" t="s">
        <v>64</v>
      </c>
      <c r="C81" s="30" t="s">
        <v>130</v>
      </c>
      <c r="D81" s="31" t="s">
        <v>131</v>
      </c>
      <c r="E81" s="30" t="s">
        <v>132</v>
      </c>
      <c r="F81" s="30" t="s">
        <v>15</v>
      </c>
      <c r="G81" s="31" t="s">
        <v>133</v>
      </c>
      <c r="H81" s="32">
        <v>0</v>
      </c>
      <c r="I81" s="31"/>
      <c r="J81" s="33">
        <v>46235</v>
      </c>
      <c r="K81" s="32">
        <v>0</v>
      </c>
      <c r="L81" s="32"/>
      <c r="M81" s="32">
        <v>0</v>
      </c>
      <c r="N81" s="31"/>
      <c r="O81" s="34">
        <v>46100.749652777777</v>
      </c>
      <c r="P81" s="35" t="s">
        <v>72</v>
      </c>
      <c r="Q81" s="35" t="s">
        <v>79</v>
      </c>
      <c r="R81" s="33">
        <v>46275</v>
      </c>
      <c r="S81" s="30" t="s">
        <v>85</v>
      </c>
      <c r="T81" s="36">
        <v>80</v>
      </c>
      <c r="U81" s="30" t="s">
        <v>74</v>
      </c>
      <c r="V81" s="30" t="s">
        <v>73</v>
      </c>
    </row>
    <row r="82" spans="1:22" hidden="1" x14ac:dyDescent="0.25">
      <c r="A82" s="30" t="s">
        <v>129</v>
      </c>
      <c r="B82" s="30" t="s">
        <v>64</v>
      </c>
      <c r="C82" s="30" t="s">
        <v>130</v>
      </c>
      <c r="D82" s="31" t="s">
        <v>131</v>
      </c>
      <c r="E82" s="30" t="s">
        <v>132</v>
      </c>
      <c r="F82" s="30" t="s">
        <v>15</v>
      </c>
      <c r="G82" s="31" t="s">
        <v>133</v>
      </c>
      <c r="H82" s="32">
        <v>0</v>
      </c>
      <c r="I82" s="31"/>
      <c r="J82" s="33">
        <v>46266</v>
      </c>
      <c r="K82" s="32">
        <v>0</v>
      </c>
      <c r="L82" s="32"/>
      <c r="M82" s="32">
        <v>0</v>
      </c>
      <c r="N82" s="31"/>
      <c r="O82" s="34">
        <v>46100.749652777777</v>
      </c>
      <c r="P82" s="35" t="s">
        <v>72</v>
      </c>
      <c r="Q82" s="35" t="s">
        <v>79</v>
      </c>
      <c r="R82" s="33">
        <v>46306</v>
      </c>
      <c r="S82" s="30" t="s">
        <v>85</v>
      </c>
      <c r="T82" s="36">
        <v>81</v>
      </c>
      <c r="U82" s="30" t="s">
        <v>74</v>
      </c>
      <c r="V82" s="30" t="s">
        <v>73</v>
      </c>
    </row>
    <row r="83" spans="1:22" hidden="1" x14ac:dyDescent="0.25">
      <c r="A83" s="30" t="s">
        <v>129</v>
      </c>
      <c r="B83" s="30" t="s">
        <v>64</v>
      </c>
      <c r="C83" s="30" t="s">
        <v>130</v>
      </c>
      <c r="D83" s="31" t="s">
        <v>131</v>
      </c>
      <c r="E83" s="30" t="s">
        <v>132</v>
      </c>
      <c r="F83" s="30" t="s">
        <v>15</v>
      </c>
      <c r="G83" s="31" t="s">
        <v>133</v>
      </c>
      <c r="H83" s="32">
        <v>0</v>
      </c>
      <c r="I83" s="31"/>
      <c r="J83" s="33">
        <v>46296</v>
      </c>
      <c r="K83" s="32">
        <v>0</v>
      </c>
      <c r="L83" s="32"/>
      <c r="M83" s="32">
        <v>0</v>
      </c>
      <c r="N83" s="31"/>
      <c r="O83" s="34">
        <v>46100.749664351853</v>
      </c>
      <c r="P83" s="35" t="s">
        <v>72</v>
      </c>
      <c r="Q83" s="35" t="s">
        <v>79</v>
      </c>
      <c r="R83" s="33">
        <v>46336</v>
      </c>
      <c r="S83" s="30" t="s">
        <v>85</v>
      </c>
      <c r="T83" s="36">
        <v>82</v>
      </c>
      <c r="U83" s="30" t="s">
        <v>74</v>
      </c>
      <c r="V83" s="30" t="s">
        <v>73</v>
      </c>
    </row>
    <row r="84" spans="1:22" hidden="1" x14ac:dyDescent="0.25">
      <c r="A84" s="30" t="s">
        <v>129</v>
      </c>
      <c r="B84" s="30" t="s">
        <v>64</v>
      </c>
      <c r="C84" s="30" t="s">
        <v>130</v>
      </c>
      <c r="D84" s="31" t="s">
        <v>131</v>
      </c>
      <c r="E84" s="30" t="s">
        <v>132</v>
      </c>
      <c r="F84" s="30" t="s">
        <v>15</v>
      </c>
      <c r="G84" s="31" t="s">
        <v>133</v>
      </c>
      <c r="H84" s="32">
        <v>0</v>
      </c>
      <c r="I84" s="31"/>
      <c r="J84" s="33">
        <v>46327</v>
      </c>
      <c r="K84" s="32">
        <v>0</v>
      </c>
      <c r="L84" s="32"/>
      <c r="M84" s="32">
        <v>0</v>
      </c>
      <c r="N84" s="31"/>
      <c r="O84" s="34">
        <v>46100.749664351853</v>
      </c>
      <c r="P84" s="35" t="s">
        <v>72</v>
      </c>
      <c r="Q84" s="35" t="s">
        <v>79</v>
      </c>
      <c r="R84" s="33">
        <v>46367</v>
      </c>
      <c r="S84" s="30" t="s">
        <v>85</v>
      </c>
      <c r="T84" s="36">
        <v>83</v>
      </c>
      <c r="U84" s="30" t="s">
        <v>74</v>
      </c>
      <c r="V84" s="30" t="s">
        <v>73</v>
      </c>
    </row>
    <row r="85" spans="1:22" hidden="1" x14ac:dyDescent="0.25">
      <c r="A85" s="30" t="s">
        <v>129</v>
      </c>
      <c r="B85" s="30" t="s">
        <v>64</v>
      </c>
      <c r="C85" s="30" t="s">
        <v>130</v>
      </c>
      <c r="D85" s="31" t="s">
        <v>131</v>
      </c>
      <c r="E85" s="30" t="s">
        <v>132</v>
      </c>
      <c r="F85" s="30" t="s">
        <v>15</v>
      </c>
      <c r="G85" s="31" t="s">
        <v>133</v>
      </c>
      <c r="H85" s="32">
        <v>60</v>
      </c>
      <c r="I85" s="31"/>
      <c r="J85" s="33">
        <v>46357</v>
      </c>
      <c r="K85" s="32">
        <v>0</v>
      </c>
      <c r="L85" s="32"/>
      <c r="M85" s="32">
        <v>0</v>
      </c>
      <c r="N85" s="31"/>
      <c r="O85" s="34">
        <v>46100.749664351853</v>
      </c>
      <c r="P85" s="35" t="s">
        <v>72</v>
      </c>
      <c r="Q85" s="35" t="s">
        <v>79</v>
      </c>
      <c r="R85" s="33">
        <v>46397</v>
      </c>
      <c r="S85" s="30" t="s">
        <v>85</v>
      </c>
      <c r="T85" s="36">
        <v>84</v>
      </c>
      <c r="U85" s="30" t="s">
        <v>74</v>
      </c>
      <c r="V85" s="30" t="s">
        <v>73</v>
      </c>
    </row>
    <row r="86" spans="1:22" ht="45" hidden="1" x14ac:dyDescent="0.25">
      <c r="A86" s="30" t="s">
        <v>142</v>
      </c>
      <c r="B86" s="30" t="s">
        <v>64</v>
      </c>
      <c r="C86" s="30" t="s">
        <v>143</v>
      </c>
      <c r="D86" s="31" t="s">
        <v>144</v>
      </c>
      <c r="E86" s="30" t="s">
        <v>145</v>
      </c>
      <c r="F86" s="30" t="s">
        <v>18</v>
      </c>
      <c r="G86" s="31" t="s">
        <v>144</v>
      </c>
      <c r="H86" s="32">
        <v>0</v>
      </c>
      <c r="I86" s="31"/>
      <c r="J86" s="33">
        <v>46023</v>
      </c>
      <c r="K86" s="32">
        <v>0</v>
      </c>
      <c r="L86" s="32">
        <v>0</v>
      </c>
      <c r="M86" s="32">
        <v>0</v>
      </c>
      <c r="N86" s="31" t="s">
        <v>146</v>
      </c>
      <c r="O86" s="34">
        <v>46129.695810185185</v>
      </c>
      <c r="P86" s="35" t="s">
        <v>87</v>
      </c>
      <c r="Q86" s="35" t="s">
        <v>70</v>
      </c>
      <c r="R86" s="33">
        <v>46063</v>
      </c>
      <c r="S86" s="30" t="s">
        <v>85</v>
      </c>
      <c r="T86" s="36">
        <v>85</v>
      </c>
      <c r="U86" s="30" t="s">
        <v>74</v>
      </c>
      <c r="V86" s="30" t="s">
        <v>73</v>
      </c>
    </row>
    <row r="87" spans="1:22" ht="45" hidden="1" x14ac:dyDescent="0.25">
      <c r="A87" s="30" t="s">
        <v>142</v>
      </c>
      <c r="B87" s="30" t="s">
        <v>64</v>
      </c>
      <c r="C87" s="30" t="s">
        <v>143</v>
      </c>
      <c r="D87" s="31" t="s">
        <v>144</v>
      </c>
      <c r="E87" s="30" t="s">
        <v>145</v>
      </c>
      <c r="F87" s="30" t="s">
        <v>18</v>
      </c>
      <c r="G87" s="31" t="s">
        <v>144</v>
      </c>
      <c r="H87" s="32">
        <v>0</v>
      </c>
      <c r="I87" s="31"/>
      <c r="J87" s="33">
        <v>46054</v>
      </c>
      <c r="K87" s="32">
        <v>0</v>
      </c>
      <c r="L87" s="32">
        <v>0</v>
      </c>
      <c r="M87" s="32">
        <v>0</v>
      </c>
      <c r="N87" s="31" t="s">
        <v>146</v>
      </c>
      <c r="O87" s="34">
        <v>46129.69568287037</v>
      </c>
      <c r="P87" s="35" t="s">
        <v>87</v>
      </c>
      <c r="Q87" s="35" t="s">
        <v>70</v>
      </c>
      <c r="R87" s="33">
        <v>46094</v>
      </c>
      <c r="S87" s="30" t="s">
        <v>85</v>
      </c>
      <c r="T87" s="36">
        <v>86</v>
      </c>
      <c r="U87" s="30" t="s">
        <v>74</v>
      </c>
      <c r="V87" s="30" t="s">
        <v>73</v>
      </c>
    </row>
    <row r="88" spans="1:22" ht="45" hidden="1" x14ac:dyDescent="0.25">
      <c r="A88" s="30" t="s">
        <v>142</v>
      </c>
      <c r="B88" s="30" t="s">
        <v>64</v>
      </c>
      <c r="C88" s="30" t="s">
        <v>143</v>
      </c>
      <c r="D88" s="31" t="s">
        <v>144</v>
      </c>
      <c r="E88" s="30" t="s">
        <v>145</v>
      </c>
      <c r="F88" s="30" t="s">
        <v>18</v>
      </c>
      <c r="G88" s="31" t="s">
        <v>144</v>
      </c>
      <c r="H88" s="32">
        <v>0</v>
      </c>
      <c r="I88" s="31"/>
      <c r="J88" s="33">
        <v>46082</v>
      </c>
      <c r="K88" s="32">
        <v>0</v>
      </c>
      <c r="L88" s="32">
        <v>0</v>
      </c>
      <c r="M88" s="32">
        <v>0</v>
      </c>
      <c r="N88" s="31" t="s">
        <v>146</v>
      </c>
      <c r="O88" s="34">
        <v>46129.695555555554</v>
      </c>
      <c r="P88" s="35" t="s">
        <v>87</v>
      </c>
      <c r="Q88" s="35" t="s">
        <v>70</v>
      </c>
      <c r="R88" s="33">
        <v>46122</v>
      </c>
      <c r="S88" s="30" t="s">
        <v>85</v>
      </c>
      <c r="T88" s="36">
        <v>87</v>
      </c>
      <c r="U88" s="30" t="s">
        <v>74</v>
      </c>
      <c r="V88" s="30" t="s">
        <v>73</v>
      </c>
    </row>
    <row r="89" spans="1:22" ht="75" hidden="1" x14ac:dyDescent="0.25">
      <c r="A89" s="30" t="s">
        <v>142</v>
      </c>
      <c r="B89" s="30" t="s">
        <v>64</v>
      </c>
      <c r="C89" s="30" t="s">
        <v>143</v>
      </c>
      <c r="D89" s="31" t="s">
        <v>144</v>
      </c>
      <c r="E89" s="30" t="s">
        <v>145</v>
      </c>
      <c r="F89" s="30" t="s">
        <v>18</v>
      </c>
      <c r="G89" s="31" t="s">
        <v>144</v>
      </c>
      <c r="H89" s="32">
        <v>0</v>
      </c>
      <c r="I89" s="31"/>
      <c r="J89" s="33">
        <v>46113</v>
      </c>
      <c r="K89" s="32">
        <v>0</v>
      </c>
      <c r="L89" s="32">
        <v>0</v>
      </c>
      <c r="M89" s="32">
        <v>0</v>
      </c>
      <c r="N89" s="31" t="s">
        <v>147</v>
      </c>
      <c r="O89" s="34">
        <v>46220.742881944447</v>
      </c>
      <c r="P89" s="35" t="s">
        <v>76</v>
      </c>
      <c r="Q89" s="35" t="s">
        <v>79</v>
      </c>
      <c r="R89" s="33">
        <v>46153</v>
      </c>
      <c r="S89" s="30" t="s">
        <v>85</v>
      </c>
      <c r="T89" s="36">
        <v>88</v>
      </c>
      <c r="U89" s="30" t="s">
        <v>74</v>
      </c>
      <c r="V89" s="30" t="s">
        <v>73</v>
      </c>
    </row>
    <row r="90" spans="1:22" ht="75" hidden="1" x14ac:dyDescent="0.25">
      <c r="A90" s="30" t="s">
        <v>142</v>
      </c>
      <c r="B90" s="30" t="s">
        <v>64</v>
      </c>
      <c r="C90" s="30" t="s">
        <v>143</v>
      </c>
      <c r="D90" s="31" t="s">
        <v>144</v>
      </c>
      <c r="E90" s="30" t="s">
        <v>145</v>
      </c>
      <c r="F90" s="30" t="s">
        <v>18</v>
      </c>
      <c r="G90" s="31" t="s">
        <v>144</v>
      </c>
      <c r="H90" s="32">
        <v>0</v>
      </c>
      <c r="I90" s="31"/>
      <c r="J90" s="33">
        <v>46143</v>
      </c>
      <c r="K90" s="32">
        <v>0</v>
      </c>
      <c r="L90" s="32">
        <v>0</v>
      </c>
      <c r="M90" s="32">
        <v>0</v>
      </c>
      <c r="N90" s="31" t="s">
        <v>147</v>
      </c>
      <c r="O90" s="34">
        <v>46220.743784722225</v>
      </c>
      <c r="P90" s="35" t="s">
        <v>76</v>
      </c>
      <c r="Q90" s="35" t="s">
        <v>79</v>
      </c>
      <c r="R90" s="33">
        <v>46183</v>
      </c>
      <c r="S90" s="30" t="s">
        <v>85</v>
      </c>
      <c r="T90" s="36">
        <v>89</v>
      </c>
      <c r="U90" s="30" t="s">
        <v>74</v>
      </c>
      <c r="V90" s="30" t="s">
        <v>73</v>
      </c>
    </row>
    <row r="91" spans="1:22" ht="75" hidden="1" x14ac:dyDescent="0.25">
      <c r="A91" s="30" t="s">
        <v>142</v>
      </c>
      <c r="B91" s="30" t="s">
        <v>64</v>
      </c>
      <c r="C91" s="30" t="s">
        <v>143</v>
      </c>
      <c r="D91" s="31" t="s">
        <v>144</v>
      </c>
      <c r="E91" s="30" t="s">
        <v>145</v>
      </c>
      <c r="F91" s="30" t="s">
        <v>18</v>
      </c>
      <c r="G91" s="31" t="s">
        <v>144</v>
      </c>
      <c r="H91" s="32">
        <v>1</v>
      </c>
      <c r="I91" s="31"/>
      <c r="J91" s="33">
        <v>46174</v>
      </c>
      <c r="K91" s="32">
        <v>0</v>
      </c>
      <c r="L91" s="32">
        <v>0</v>
      </c>
      <c r="M91" s="32">
        <v>0</v>
      </c>
      <c r="N91" s="31" t="s">
        <v>147</v>
      </c>
      <c r="O91" s="34">
        <v>46220.743993055556</v>
      </c>
      <c r="P91" s="35" t="s">
        <v>76</v>
      </c>
      <c r="Q91" s="35" t="s">
        <v>79</v>
      </c>
      <c r="R91" s="33">
        <v>46214</v>
      </c>
      <c r="S91" s="30" t="s">
        <v>85</v>
      </c>
      <c r="T91" s="36">
        <v>90</v>
      </c>
      <c r="U91" s="30" t="s">
        <v>74</v>
      </c>
      <c r="V91" s="30" t="s">
        <v>73</v>
      </c>
    </row>
    <row r="92" spans="1:22" hidden="1" x14ac:dyDescent="0.25">
      <c r="A92" s="30" t="s">
        <v>142</v>
      </c>
      <c r="B92" s="30" t="s">
        <v>64</v>
      </c>
      <c r="C92" s="30" t="s">
        <v>143</v>
      </c>
      <c r="D92" s="31" t="s">
        <v>144</v>
      </c>
      <c r="E92" s="30" t="s">
        <v>145</v>
      </c>
      <c r="F92" s="30" t="s">
        <v>18</v>
      </c>
      <c r="G92" s="31" t="s">
        <v>144</v>
      </c>
      <c r="H92" s="32">
        <v>1</v>
      </c>
      <c r="I92" s="31"/>
      <c r="J92" s="33">
        <v>46204</v>
      </c>
      <c r="K92" s="32">
        <v>0</v>
      </c>
      <c r="L92" s="32"/>
      <c r="M92" s="32">
        <v>0</v>
      </c>
      <c r="N92" s="31"/>
      <c r="O92" s="34">
        <v>46100.749675925923</v>
      </c>
      <c r="P92" s="35" t="s">
        <v>72</v>
      </c>
      <c r="Q92" s="35" t="s">
        <v>79</v>
      </c>
      <c r="R92" s="33">
        <v>46244</v>
      </c>
      <c r="S92" s="30" t="s">
        <v>85</v>
      </c>
      <c r="T92" s="36">
        <v>91</v>
      </c>
      <c r="U92" s="30" t="s">
        <v>74</v>
      </c>
      <c r="V92" s="30" t="s">
        <v>73</v>
      </c>
    </row>
    <row r="93" spans="1:22" hidden="1" x14ac:dyDescent="0.25">
      <c r="A93" s="30" t="s">
        <v>142</v>
      </c>
      <c r="B93" s="30" t="s">
        <v>64</v>
      </c>
      <c r="C93" s="30" t="s">
        <v>143</v>
      </c>
      <c r="D93" s="31" t="s">
        <v>144</v>
      </c>
      <c r="E93" s="30" t="s">
        <v>145</v>
      </c>
      <c r="F93" s="30" t="s">
        <v>18</v>
      </c>
      <c r="G93" s="31" t="s">
        <v>144</v>
      </c>
      <c r="H93" s="32">
        <v>1</v>
      </c>
      <c r="I93" s="31"/>
      <c r="J93" s="33">
        <v>46235</v>
      </c>
      <c r="K93" s="32">
        <v>0</v>
      </c>
      <c r="L93" s="32"/>
      <c r="M93" s="32">
        <v>0</v>
      </c>
      <c r="N93" s="31"/>
      <c r="O93" s="34">
        <v>46100.749675925923</v>
      </c>
      <c r="P93" s="35" t="s">
        <v>72</v>
      </c>
      <c r="Q93" s="35" t="s">
        <v>79</v>
      </c>
      <c r="R93" s="33">
        <v>46275</v>
      </c>
      <c r="S93" s="30" t="s">
        <v>85</v>
      </c>
      <c r="T93" s="36">
        <v>92</v>
      </c>
      <c r="U93" s="30" t="s">
        <v>74</v>
      </c>
      <c r="V93" s="30" t="s">
        <v>73</v>
      </c>
    </row>
    <row r="94" spans="1:22" hidden="1" x14ac:dyDescent="0.25">
      <c r="A94" s="30" t="s">
        <v>142</v>
      </c>
      <c r="B94" s="30" t="s">
        <v>64</v>
      </c>
      <c r="C94" s="30" t="s">
        <v>143</v>
      </c>
      <c r="D94" s="31" t="s">
        <v>144</v>
      </c>
      <c r="E94" s="30" t="s">
        <v>145</v>
      </c>
      <c r="F94" s="30" t="s">
        <v>18</v>
      </c>
      <c r="G94" s="31" t="s">
        <v>144</v>
      </c>
      <c r="H94" s="32">
        <v>1</v>
      </c>
      <c r="I94" s="31"/>
      <c r="J94" s="33">
        <v>46266</v>
      </c>
      <c r="K94" s="32">
        <v>0</v>
      </c>
      <c r="L94" s="32"/>
      <c r="M94" s="32">
        <v>0</v>
      </c>
      <c r="N94" s="31"/>
      <c r="O94" s="34">
        <v>46100.749675925923</v>
      </c>
      <c r="P94" s="35" t="s">
        <v>72</v>
      </c>
      <c r="Q94" s="35" t="s">
        <v>79</v>
      </c>
      <c r="R94" s="33">
        <v>46306</v>
      </c>
      <c r="S94" s="30" t="s">
        <v>85</v>
      </c>
      <c r="T94" s="36">
        <v>93</v>
      </c>
      <c r="U94" s="30" t="s">
        <v>74</v>
      </c>
      <c r="V94" s="30" t="s">
        <v>73</v>
      </c>
    </row>
    <row r="95" spans="1:22" hidden="1" x14ac:dyDescent="0.25">
      <c r="A95" s="30" t="s">
        <v>142</v>
      </c>
      <c r="B95" s="30" t="s">
        <v>64</v>
      </c>
      <c r="C95" s="30" t="s">
        <v>143</v>
      </c>
      <c r="D95" s="31" t="s">
        <v>144</v>
      </c>
      <c r="E95" s="30" t="s">
        <v>145</v>
      </c>
      <c r="F95" s="30" t="s">
        <v>18</v>
      </c>
      <c r="G95" s="31" t="s">
        <v>144</v>
      </c>
      <c r="H95" s="32">
        <v>1</v>
      </c>
      <c r="I95" s="31"/>
      <c r="J95" s="33">
        <v>46296</v>
      </c>
      <c r="K95" s="32">
        <v>0</v>
      </c>
      <c r="L95" s="32"/>
      <c r="M95" s="32">
        <v>0</v>
      </c>
      <c r="N95" s="31"/>
      <c r="O95" s="34">
        <v>46100.749675925923</v>
      </c>
      <c r="P95" s="35" t="s">
        <v>72</v>
      </c>
      <c r="Q95" s="35" t="s">
        <v>79</v>
      </c>
      <c r="R95" s="33">
        <v>46336</v>
      </c>
      <c r="S95" s="30" t="s">
        <v>85</v>
      </c>
      <c r="T95" s="36">
        <v>94</v>
      </c>
      <c r="U95" s="30" t="s">
        <v>74</v>
      </c>
      <c r="V95" s="30" t="s">
        <v>73</v>
      </c>
    </row>
    <row r="96" spans="1:22" hidden="1" x14ac:dyDescent="0.25">
      <c r="A96" s="30" t="s">
        <v>142</v>
      </c>
      <c r="B96" s="30" t="s">
        <v>64</v>
      </c>
      <c r="C96" s="30" t="s">
        <v>143</v>
      </c>
      <c r="D96" s="31" t="s">
        <v>144</v>
      </c>
      <c r="E96" s="30" t="s">
        <v>145</v>
      </c>
      <c r="F96" s="30" t="s">
        <v>18</v>
      </c>
      <c r="G96" s="31" t="s">
        <v>144</v>
      </c>
      <c r="H96" s="32">
        <v>1</v>
      </c>
      <c r="I96" s="31"/>
      <c r="J96" s="33">
        <v>46327</v>
      </c>
      <c r="K96" s="32">
        <v>0</v>
      </c>
      <c r="L96" s="32"/>
      <c r="M96" s="32">
        <v>0</v>
      </c>
      <c r="N96" s="31"/>
      <c r="O96" s="34">
        <v>46100.749675925923</v>
      </c>
      <c r="P96" s="35" t="s">
        <v>72</v>
      </c>
      <c r="Q96" s="35" t="s">
        <v>79</v>
      </c>
      <c r="R96" s="33">
        <v>46367</v>
      </c>
      <c r="S96" s="30" t="s">
        <v>85</v>
      </c>
      <c r="T96" s="36">
        <v>95</v>
      </c>
      <c r="U96" s="30" t="s">
        <v>74</v>
      </c>
      <c r="V96" s="30" t="s">
        <v>73</v>
      </c>
    </row>
    <row r="97" spans="1:22" hidden="1" x14ac:dyDescent="0.25">
      <c r="A97" s="30" t="s">
        <v>142</v>
      </c>
      <c r="B97" s="30" t="s">
        <v>64</v>
      </c>
      <c r="C97" s="30" t="s">
        <v>143</v>
      </c>
      <c r="D97" s="31" t="s">
        <v>144</v>
      </c>
      <c r="E97" s="30" t="s">
        <v>145</v>
      </c>
      <c r="F97" s="30" t="s">
        <v>18</v>
      </c>
      <c r="G97" s="31" t="s">
        <v>144</v>
      </c>
      <c r="H97" s="32">
        <v>2</v>
      </c>
      <c r="I97" s="31"/>
      <c r="J97" s="33">
        <v>46357</v>
      </c>
      <c r="K97" s="32">
        <v>0</v>
      </c>
      <c r="L97" s="32"/>
      <c r="M97" s="32">
        <v>0</v>
      </c>
      <c r="N97" s="31"/>
      <c r="O97" s="34">
        <v>46100.7496875</v>
      </c>
      <c r="P97" s="35" t="s">
        <v>72</v>
      </c>
      <c r="Q97" s="35" t="s">
        <v>79</v>
      </c>
      <c r="R97" s="33">
        <v>46397</v>
      </c>
      <c r="S97" s="30" t="s">
        <v>85</v>
      </c>
      <c r="T97" s="36">
        <v>96</v>
      </c>
      <c r="U97" s="30" t="s">
        <v>74</v>
      </c>
      <c r="V97" s="30" t="s">
        <v>73</v>
      </c>
    </row>
    <row r="98" spans="1:22" ht="45" hidden="1" x14ac:dyDescent="0.25">
      <c r="A98" s="30" t="s">
        <v>148</v>
      </c>
      <c r="B98" s="30" t="s">
        <v>64</v>
      </c>
      <c r="C98" s="30" t="s">
        <v>143</v>
      </c>
      <c r="D98" s="31" t="s">
        <v>148</v>
      </c>
      <c r="E98" s="30" t="s">
        <v>149</v>
      </c>
      <c r="F98" s="30" t="s">
        <v>18</v>
      </c>
      <c r="G98" s="31" t="s">
        <v>150</v>
      </c>
      <c r="H98" s="32">
        <v>737118539.33000004</v>
      </c>
      <c r="I98" s="31"/>
      <c r="J98" s="33">
        <v>46023</v>
      </c>
      <c r="K98" s="32">
        <v>769496203.13999999</v>
      </c>
      <c r="L98" s="32">
        <v>1.0439000000000001</v>
      </c>
      <c r="M98" s="32">
        <v>1</v>
      </c>
      <c r="N98" s="31" t="s">
        <v>151</v>
      </c>
      <c r="O98" s="34">
        <v>46129.695972222224</v>
      </c>
      <c r="P98" s="35" t="s">
        <v>87</v>
      </c>
      <c r="Q98" s="35" t="s">
        <v>70</v>
      </c>
      <c r="R98" s="33">
        <v>46063</v>
      </c>
      <c r="S98" s="30" t="s">
        <v>95</v>
      </c>
      <c r="T98" s="36">
        <v>97</v>
      </c>
      <c r="U98" s="30" t="s">
        <v>74</v>
      </c>
      <c r="V98" s="30" t="s">
        <v>73</v>
      </c>
    </row>
    <row r="99" spans="1:22" ht="90" hidden="1" x14ac:dyDescent="0.25">
      <c r="A99" s="30" t="s">
        <v>148</v>
      </c>
      <c r="B99" s="30" t="s">
        <v>64</v>
      </c>
      <c r="C99" s="30" t="s">
        <v>143</v>
      </c>
      <c r="D99" s="31" t="s">
        <v>148</v>
      </c>
      <c r="E99" s="30" t="s">
        <v>149</v>
      </c>
      <c r="F99" s="30" t="s">
        <v>18</v>
      </c>
      <c r="G99" s="31" t="s">
        <v>150</v>
      </c>
      <c r="H99" s="32">
        <v>1394613494.9200001</v>
      </c>
      <c r="I99" s="31"/>
      <c r="J99" s="33">
        <v>46054</v>
      </c>
      <c r="K99" s="32">
        <v>1506381391.3199999</v>
      </c>
      <c r="L99" s="32">
        <v>1.0801000000000001</v>
      </c>
      <c r="M99" s="32">
        <v>1</v>
      </c>
      <c r="N99" s="31" t="s">
        <v>152</v>
      </c>
      <c r="O99" s="34">
        <v>46129.696099537039</v>
      </c>
      <c r="P99" s="35" t="s">
        <v>87</v>
      </c>
      <c r="Q99" s="35" t="s">
        <v>70</v>
      </c>
      <c r="R99" s="33">
        <v>46094</v>
      </c>
      <c r="S99" s="30" t="s">
        <v>95</v>
      </c>
      <c r="T99" s="36">
        <v>98</v>
      </c>
      <c r="U99" s="30" t="s">
        <v>74</v>
      </c>
      <c r="V99" s="30" t="s">
        <v>73</v>
      </c>
    </row>
    <row r="100" spans="1:22" ht="120" hidden="1" x14ac:dyDescent="0.25">
      <c r="A100" s="30" t="s">
        <v>148</v>
      </c>
      <c r="B100" s="30" t="s">
        <v>64</v>
      </c>
      <c r="C100" s="30" t="s">
        <v>143</v>
      </c>
      <c r="D100" s="31" t="s">
        <v>148</v>
      </c>
      <c r="E100" s="30" t="s">
        <v>149</v>
      </c>
      <c r="F100" s="30" t="s">
        <v>18</v>
      </c>
      <c r="G100" s="31" t="s">
        <v>150</v>
      </c>
      <c r="H100" s="32">
        <v>2142991571.51</v>
      </c>
      <c r="I100" s="31"/>
      <c r="J100" s="33">
        <v>46082</v>
      </c>
      <c r="K100" s="32">
        <v>2253033145.9200001</v>
      </c>
      <c r="L100" s="32">
        <v>1.0512999999999999</v>
      </c>
      <c r="M100" s="32">
        <v>1</v>
      </c>
      <c r="N100" s="31" t="s">
        <v>153</v>
      </c>
      <c r="O100" s="34">
        <v>46129.696215277778</v>
      </c>
      <c r="P100" s="35" t="s">
        <v>87</v>
      </c>
      <c r="Q100" s="35" t="s">
        <v>70</v>
      </c>
      <c r="R100" s="33">
        <v>46122</v>
      </c>
      <c r="S100" s="30" t="s">
        <v>95</v>
      </c>
      <c r="T100" s="36">
        <v>99</v>
      </c>
      <c r="U100" s="30" t="s">
        <v>74</v>
      </c>
      <c r="V100" s="30" t="s">
        <v>73</v>
      </c>
    </row>
    <row r="101" spans="1:22" ht="150" hidden="1" x14ac:dyDescent="0.25">
      <c r="A101" s="30" t="s">
        <v>148</v>
      </c>
      <c r="B101" s="30" t="s">
        <v>64</v>
      </c>
      <c r="C101" s="30" t="s">
        <v>143</v>
      </c>
      <c r="D101" s="31" t="s">
        <v>148</v>
      </c>
      <c r="E101" s="30" t="s">
        <v>149</v>
      </c>
      <c r="F101" s="30" t="s">
        <v>18</v>
      </c>
      <c r="G101" s="31" t="s">
        <v>150</v>
      </c>
      <c r="H101" s="32">
        <v>2926098294.2600002</v>
      </c>
      <c r="I101" s="31"/>
      <c r="J101" s="33">
        <v>46113</v>
      </c>
      <c r="K101" s="32">
        <v>3035017772.9000001</v>
      </c>
      <c r="L101" s="32">
        <v>1.03722345173901</v>
      </c>
      <c r="M101" s="32">
        <v>1</v>
      </c>
      <c r="N101" s="31" t="s">
        <v>154</v>
      </c>
      <c r="O101" s="34">
        <v>46203.730578703704</v>
      </c>
      <c r="P101" s="35" t="s">
        <v>155</v>
      </c>
      <c r="Q101" s="35" t="s">
        <v>79</v>
      </c>
      <c r="R101" s="33">
        <v>46153</v>
      </c>
      <c r="S101" s="30" t="s">
        <v>95</v>
      </c>
      <c r="T101" s="36">
        <v>100</v>
      </c>
      <c r="U101" s="30" t="s">
        <v>74</v>
      </c>
      <c r="V101" s="30" t="s">
        <v>73</v>
      </c>
    </row>
    <row r="102" spans="1:22" ht="165" hidden="1" x14ac:dyDescent="0.25">
      <c r="A102" s="30" t="s">
        <v>148</v>
      </c>
      <c r="B102" s="30" t="s">
        <v>64</v>
      </c>
      <c r="C102" s="30" t="s">
        <v>143</v>
      </c>
      <c r="D102" s="31" t="s">
        <v>148</v>
      </c>
      <c r="E102" s="30" t="s">
        <v>149</v>
      </c>
      <c r="F102" s="30" t="s">
        <v>18</v>
      </c>
      <c r="G102" s="31" t="s">
        <v>150</v>
      </c>
      <c r="H102" s="32">
        <v>3688125380.1300001</v>
      </c>
      <c r="I102" s="31"/>
      <c r="J102" s="33">
        <v>46143</v>
      </c>
      <c r="K102" s="32">
        <v>3837408558.29</v>
      </c>
      <c r="L102" s="32">
        <v>1.0404767091065501</v>
      </c>
      <c r="M102" s="32">
        <v>1</v>
      </c>
      <c r="N102" s="31" t="s">
        <v>156</v>
      </c>
      <c r="O102" s="34">
        <v>46203.732928240737</v>
      </c>
      <c r="P102" s="35" t="s">
        <v>155</v>
      </c>
      <c r="Q102" s="35" t="s">
        <v>79</v>
      </c>
      <c r="R102" s="33">
        <v>46183</v>
      </c>
      <c r="S102" s="30" t="s">
        <v>95</v>
      </c>
      <c r="T102" s="36">
        <v>101</v>
      </c>
      <c r="U102" s="30" t="s">
        <v>74</v>
      </c>
      <c r="V102" s="30" t="s">
        <v>73</v>
      </c>
    </row>
    <row r="103" spans="1:22" ht="90" hidden="1" x14ac:dyDescent="0.25">
      <c r="A103" s="30" t="s">
        <v>148</v>
      </c>
      <c r="B103" s="30" t="s">
        <v>64</v>
      </c>
      <c r="C103" s="30" t="s">
        <v>143</v>
      </c>
      <c r="D103" s="31" t="s">
        <v>148</v>
      </c>
      <c r="E103" s="30" t="s">
        <v>149</v>
      </c>
      <c r="F103" s="30" t="s">
        <v>18</v>
      </c>
      <c r="G103" s="31" t="s">
        <v>150</v>
      </c>
      <c r="H103" s="32">
        <v>4545104157.2600002</v>
      </c>
      <c r="I103" s="31"/>
      <c r="J103" s="33">
        <v>46174</v>
      </c>
      <c r="K103" s="32">
        <v>4615037076.0299997</v>
      </c>
      <c r="L103" s="32">
        <v>1.01538642819842</v>
      </c>
      <c r="M103" s="32">
        <v>1</v>
      </c>
      <c r="N103" s="31" t="s">
        <v>157</v>
      </c>
      <c r="O103" s="34">
        <v>46220.756493055553</v>
      </c>
      <c r="P103" s="35" t="s">
        <v>87</v>
      </c>
      <c r="Q103" s="35" t="s">
        <v>79</v>
      </c>
      <c r="R103" s="33">
        <v>46214</v>
      </c>
      <c r="S103" s="30" t="s">
        <v>95</v>
      </c>
      <c r="T103" s="36">
        <v>102</v>
      </c>
      <c r="U103" s="30" t="s">
        <v>74</v>
      </c>
      <c r="V103" s="30" t="s">
        <v>73</v>
      </c>
    </row>
    <row r="104" spans="1:22" hidden="1" x14ac:dyDescent="0.25">
      <c r="A104" s="30" t="s">
        <v>148</v>
      </c>
      <c r="B104" s="30" t="s">
        <v>64</v>
      </c>
      <c r="C104" s="30" t="s">
        <v>143</v>
      </c>
      <c r="D104" s="31" t="s">
        <v>148</v>
      </c>
      <c r="E104" s="30" t="s">
        <v>149</v>
      </c>
      <c r="F104" s="30" t="s">
        <v>18</v>
      </c>
      <c r="G104" s="31" t="s">
        <v>150</v>
      </c>
      <c r="H104" s="32">
        <v>5335136942.7200003</v>
      </c>
      <c r="I104" s="31"/>
      <c r="J104" s="33">
        <v>46204</v>
      </c>
      <c r="K104" s="32">
        <v>0</v>
      </c>
      <c r="L104" s="32"/>
      <c r="M104" s="32">
        <v>0</v>
      </c>
      <c r="N104" s="31"/>
      <c r="O104" s="34">
        <v>46122.755393518521</v>
      </c>
      <c r="P104" s="35" t="s">
        <v>72</v>
      </c>
      <c r="Q104" s="35" t="s">
        <v>79</v>
      </c>
      <c r="R104" s="33">
        <v>46244</v>
      </c>
      <c r="S104" s="30" t="s">
        <v>95</v>
      </c>
      <c r="T104" s="36">
        <v>103</v>
      </c>
      <c r="U104" s="30" t="s">
        <v>74</v>
      </c>
      <c r="V104" s="30" t="s">
        <v>73</v>
      </c>
    </row>
    <row r="105" spans="1:22" hidden="1" x14ac:dyDescent="0.25">
      <c r="A105" s="30" t="s">
        <v>148</v>
      </c>
      <c r="B105" s="30" t="s">
        <v>64</v>
      </c>
      <c r="C105" s="30" t="s">
        <v>143</v>
      </c>
      <c r="D105" s="31" t="s">
        <v>148</v>
      </c>
      <c r="E105" s="30" t="s">
        <v>149</v>
      </c>
      <c r="F105" s="30" t="s">
        <v>18</v>
      </c>
      <c r="G105" s="31" t="s">
        <v>150</v>
      </c>
      <c r="H105" s="32">
        <v>6121095220.4799995</v>
      </c>
      <c r="I105" s="31"/>
      <c r="J105" s="33">
        <v>46235</v>
      </c>
      <c r="K105" s="32">
        <v>0</v>
      </c>
      <c r="L105" s="32"/>
      <c r="M105" s="32">
        <v>0</v>
      </c>
      <c r="N105" s="31"/>
      <c r="O105" s="34">
        <v>46122.75540509259</v>
      </c>
      <c r="P105" s="35" t="s">
        <v>72</v>
      </c>
      <c r="Q105" s="35" t="s">
        <v>79</v>
      </c>
      <c r="R105" s="33">
        <v>46275</v>
      </c>
      <c r="S105" s="30" t="s">
        <v>95</v>
      </c>
      <c r="T105" s="36">
        <v>104</v>
      </c>
      <c r="U105" s="30" t="s">
        <v>74</v>
      </c>
      <c r="V105" s="30" t="s">
        <v>73</v>
      </c>
    </row>
    <row r="106" spans="1:22" hidden="1" x14ac:dyDescent="0.25">
      <c r="A106" s="30" t="s">
        <v>148</v>
      </c>
      <c r="B106" s="30" t="s">
        <v>64</v>
      </c>
      <c r="C106" s="30" t="s">
        <v>143</v>
      </c>
      <c r="D106" s="31" t="s">
        <v>148</v>
      </c>
      <c r="E106" s="30" t="s">
        <v>149</v>
      </c>
      <c r="F106" s="30" t="s">
        <v>18</v>
      </c>
      <c r="G106" s="31" t="s">
        <v>150</v>
      </c>
      <c r="H106" s="32">
        <v>7165115749.3900003</v>
      </c>
      <c r="I106" s="31"/>
      <c r="J106" s="33">
        <v>46266</v>
      </c>
      <c r="K106" s="32">
        <v>0</v>
      </c>
      <c r="L106" s="32"/>
      <c r="M106" s="32">
        <v>0</v>
      </c>
      <c r="N106" s="31"/>
      <c r="O106" s="34">
        <v>46122.75540509259</v>
      </c>
      <c r="P106" s="35" t="s">
        <v>72</v>
      </c>
      <c r="Q106" s="35" t="s">
        <v>79</v>
      </c>
      <c r="R106" s="33">
        <v>46306</v>
      </c>
      <c r="S106" s="30" t="s">
        <v>95</v>
      </c>
      <c r="T106" s="36">
        <v>105</v>
      </c>
      <c r="U106" s="30" t="s">
        <v>74</v>
      </c>
      <c r="V106" s="30" t="s">
        <v>73</v>
      </c>
    </row>
    <row r="107" spans="1:22" hidden="1" x14ac:dyDescent="0.25">
      <c r="A107" s="30" t="s">
        <v>148</v>
      </c>
      <c r="B107" s="30" t="s">
        <v>64</v>
      </c>
      <c r="C107" s="30" t="s">
        <v>143</v>
      </c>
      <c r="D107" s="31" t="s">
        <v>148</v>
      </c>
      <c r="E107" s="30" t="s">
        <v>149</v>
      </c>
      <c r="F107" s="30" t="s">
        <v>18</v>
      </c>
      <c r="G107" s="31" t="s">
        <v>150</v>
      </c>
      <c r="H107" s="32">
        <v>7982318714.4899998</v>
      </c>
      <c r="I107" s="31"/>
      <c r="J107" s="33">
        <v>46296</v>
      </c>
      <c r="K107" s="32">
        <v>0</v>
      </c>
      <c r="L107" s="32"/>
      <c r="M107" s="32">
        <v>0</v>
      </c>
      <c r="N107" s="31"/>
      <c r="O107" s="34">
        <v>46122.75540509259</v>
      </c>
      <c r="P107" s="35" t="s">
        <v>72</v>
      </c>
      <c r="Q107" s="35" t="s">
        <v>79</v>
      </c>
      <c r="R107" s="33">
        <v>46336</v>
      </c>
      <c r="S107" s="30" t="s">
        <v>95</v>
      </c>
      <c r="T107" s="36">
        <v>106</v>
      </c>
      <c r="U107" s="30" t="s">
        <v>74</v>
      </c>
      <c r="V107" s="30" t="s">
        <v>73</v>
      </c>
    </row>
    <row r="108" spans="1:22" hidden="1" x14ac:dyDescent="0.25">
      <c r="A108" s="30" t="s">
        <v>148</v>
      </c>
      <c r="B108" s="30" t="s">
        <v>64</v>
      </c>
      <c r="C108" s="30" t="s">
        <v>143</v>
      </c>
      <c r="D108" s="31" t="s">
        <v>148</v>
      </c>
      <c r="E108" s="30" t="s">
        <v>149</v>
      </c>
      <c r="F108" s="30" t="s">
        <v>18</v>
      </c>
      <c r="G108" s="31" t="s">
        <v>150</v>
      </c>
      <c r="H108" s="32">
        <v>8738217863.6399994</v>
      </c>
      <c r="I108" s="31"/>
      <c r="J108" s="33">
        <v>46327</v>
      </c>
      <c r="K108" s="32">
        <v>0</v>
      </c>
      <c r="L108" s="32"/>
      <c r="M108" s="32">
        <v>0</v>
      </c>
      <c r="N108" s="31"/>
      <c r="O108" s="34">
        <v>46122.75540509259</v>
      </c>
      <c r="P108" s="35" t="s">
        <v>72</v>
      </c>
      <c r="Q108" s="35" t="s">
        <v>79</v>
      </c>
      <c r="R108" s="33">
        <v>46367</v>
      </c>
      <c r="S108" s="30" t="s">
        <v>95</v>
      </c>
      <c r="T108" s="36">
        <v>107</v>
      </c>
      <c r="U108" s="30" t="s">
        <v>74</v>
      </c>
      <c r="V108" s="30" t="s">
        <v>73</v>
      </c>
    </row>
    <row r="109" spans="1:22" hidden="1" x14ac:dyDescent="0.25">
      <c r="A109" s="30" t="s">
        <v>148</v>
      </c>
      <c r="B109" s="30" t="s">
        <v>64</v>
      </c>
      <c r="C109" s="30" t="s">
        <v>143</v>
      </c>
      <c r="D109" s="31" t="s">
        <v>148</v>
      </c>
      <c r="E109" s="30" t="s">
        <v>149</v>
      </c>
      <c r="F109" s="30" t="s">
        <v>18</v>
      </c>
      <c r="G109" s="31" t="s">
        <v>150</v>
      </c>
      <c r="H109" s="32">
        <v>10452751134.950001</v>
      </c>
      <c r="I109" s="31"/>
      <c r="J109" s="33">
        <v>46357</v>
      </c>
      <c r="K109" s="32">
        <v>0</v>
      </c>
      <c r="L109" s="32"/>
      <c r="M109" s="32">
        <v>0</v>
      </c>
      <c r="N109" s="31"/>
      <c r="O109" s="34">
        <v>46122.75540509259</v>
      </c>
      <c r="P109" s="35" t="s">
        <v>72</v>
      </c>
      <c r="Q109" s="35" t="s">
        <v>79</v>
      </c>
      <c r="R109" s="33">
        <v>46397</v>
      </c>
      <c r="S109" s="30" t="s">
        <v>95</v>
      </c>
      <c r="T109" s="36">
        <v>108</v>
      </c>
      <c r="U109" s="30" t="s">
        <v>74</v>
      </c>
      <c r="V109" s="30" t="s">
        <v>73</v>
      </c>
    </row>
    <row r="110" spans="1:22" ht="180" hidden="1" x14ac:dyDescent="0.25">
      <c r="A110" s="30" t="s">
        <v>158</v>
      </c>
      <c r="B110" s="30" t="s">
        <v>64</v>
      </c>
      <c r="C110" s="30" t="s">
        <v>143</v>
      </c>
      <c r="D110" s="31" t="s">
        <v>159</v>
      </c>
      <c r="E110" s="30" t="s">
        <v>160</v>
      </c>
      <c r="F110" s="30" t="s">
        <v>22</v>
      </c>
      <c r="G110" s="31" t="s">
        <v>159</v>
      </c>
      <c r="H110" s="32">
        <v>0</v>
      </c>
      <c r="I110" s="31"/>
      <c r="J110" s="33">
        <v>46023</v>
      </c>
      <c r="K110" s="32">
        <v>1</v>
      </c>
      <c r="L110" s="32">
        <v>0</v>
      </c>
      <c r="M110" s="32">
        <v>0</v>
      </c>
      <c r="N110" s="31" t="s">
        <v>161</v>
      </c>
      <c r="O110" s="34">
        <v>46202.433634259258</v>
      </c>
      <c r="P110" s="35" t="s">
        <v>162</v>
      </c>
      <c r="Q110" s="35" t="s">
        <v>70</v>
      </c>
      <c r="R110" s="33">
        <v>46063</v>
      </c>
      <c r="S110" s="30" t="s">
        <v>21</v>
      </c>
      <c r="T110" s="36">
        <v>109</v>
      </c>
      <c r="U110" s="30" t="s">
        <v>74</v>
      </c>
      <c r="V110" s="30" t="s">
        <v>73</v>
      </c>
    </row>
    <row r="111" spans="1:22" ht="180" hidden="1" x14ac:dyDescent="0.25">
      <c r="A111" s="30" t="s">
        <v>158</v>
      </c>
      <c r="B111" s="30" t="s">
        <v>64</v>
      </c>
      <c r="C111" s="30" t="s">
        <v>143</v>
      </c>
      <c r="D111" s="31" t="s">
        <v>159</v>
      </c>
      <c r="E111" s="30" t="s">
        <v>160</v>
      </c>
      <c r="F111" s="30" t="s">
        <v>22</v>
      </c>
      <c r="G111" s="31" t="s">
        <v>159</v>
      </c>
      <c r="H111" s="32">
        <v>0</v>
      </c>
      <c r="I111" s="31"/>
      <c r="J111" s="33">
        <v>46054</v>
      </c>
      <c r="K111" s="32">
        <v>1</v>
      </c>
      <c r="L111" s="32">
        <v>0</v>
      </c>
      <c r="M111" s="32">
        <v>0</v>
      </c>
      <c r="N111" s="31" t="s">
        <v>161</v>
      </c>
      <c r="O111" s="34">
        <v>46202.436805555553</v>
      </c>
      <c r="P111" s="35" t="s">
        <v>162</v>
      </c>
      <c r="Q111" s="35" t="s">
        <v>70</v>
      </c>
      <c r="R111" s="33">
        <v>46094</v>
      </c>
      <c r="S111" s="30" t="s">
        <v>21</v>
      </c>
      <c r="T111" s="36">
        <v>110</v>
      </c>
      <c r="U111" s="30" t="s">
        <v>74</v>
      </c>
      <c r="V111" s="30" t="s">
        <v>73</v>
      </c>
    </row>
    <row r="112" spans="1:22" ht="180" hidden="1" x14ac:dyDescent="0.25">
      <c r="A112" s="30" t="s">
        <v>158</v>
      </c>
      <c r="B112" s="30" t="s">
        <v>64</v>
      </c>
      <c r="C112" s="30" t="s">
        <v>143</v>
      </c>
      <c r="D112" s="31" t="s">
        <v>159</v>
      </c>
      <c r="E112" s="30" t="s">
        <v>160</v>
      </c>
      <c r="F112" s="30" t="s">
        <v>22</v>
      </c>
      <c r="G112" s="31" t="s">
        <v>159</v>
      </c>
      <c r="H112" s="32">
        <v>0</v>
      </c>
      <c r="I112" s="31"/>
      <c r="J112" s="33">
        <v>46082</v>
      </c>
      <c r="K112" s="32">
        <v>1</v>
      </c>
      <c r="L112" s="32">
        <v>0</v>
      </c>
      <c r="M112" s="32">
        <v>0</v>
      </c>
      <c r="N112" s="31" t="s">
        <v>161</v>
      </c>
      <c r="O112" s="34">
        <v>46202.437025462961</v>
      </c>
      <c r="P112" s="35" t="s">
        <v>162</v>
      </c>
      <c r="Q112" s="35" t="s">
        <v>70</v>
      </c>
      <c r="R112" s="33">
        <v>46122</v>
      </c>
      <c r="S112" s="30" t="s">
        <v>21</v>
      </c>
      <c r="T112" s="36">
        <v>111</v>
      </c>
      <c r="U112" s="30" t="s">
        <v>74</v>
      </c>
      <c r="V112" s="30" t="s">
        <v>73</v>
      </c>
    </row>
    <row r="113" spans="1:22" ht="240" hidden="1" x14ac:dyDescent="0.25">
      <c r="A113" s="30" t="s">
        <v>158</v>
      </c>
      <c r="B113" s="30" t="s">
        <v>64</v>
      </c>
      <c r="C113" s="30" t="s">
        <v>143</v>
      </c>
      <c r="D113" s="31" t="s">
        <v>159</v>
      </c>
      <c r="E113" s="30" t="s">
        <v>160</v>
      </c>
      <c r="F113" s="30" t="s">
        <v>22</v>
      </c>
      <c r="G113" s="31" t="s">
        <v>159</v>
      </c>
      <c r="H113" s="32">
        <v>0</v>
      </c>
      <c r="I113" s="31"/>
      <c r="J113" s="33">
        <v>46113</v>
      </c>
      <c r="K113" s="32">
        <v>1</v>
      </c>
      <c r="L113" s="32">
        <v>0</v>
      </c>
      <c r="M113" s="32">
        <v>0</v>
      </c>
      <c r="N113" s="31" t="s">
        <v>163</v>
      </c>
      <c r="O113" s="34">
        <v>46203.471736111111</v>
      </c>
      <c r="P113" s="35" t="s">
        <v>162</v>
      </c>
      <c r="Q113" s="35" t="s">
        <v>70</v>
      </c>
      <c r="R113" s="33">
        <v>46153</v>
      </c>
      <c r="S113" s="30" t="s">
        <v>21</v>
      </c>
      <c r="T113" s="36">
        <v>112</v>
      </c>
      <c r="U113" s="30" t="s">
        <v>74</v>
      </c>
      <c r="V113" s="30" t="s">
        <v>73</v>
      </c>
    </row>
    <row r="114" spans="1:22" ht="240" hidden="1" x14ac:dyDescent="0.25">
      <c r="A114" s="30" t="s">
        <v>158</v>
      </c>
      <c r="B114" s="30" t="s">
        <v>64</v>
      </c>
      <c r="C114" s="30" t="s">
        <v>143</v>
      </c>
      <c r="D114" s="31" t="s">
        <v>159</v>
      </c>
      <c r="E114" s="30" t="s">
        <v>160</v>
      </c>
      <c r="F114" s="30" t="s">
        <v>22</v>
      </c>
      <c r="G114" s="31" t="s">
        <v>159</v>
      </c>
      <c r="H114" s="32">
        <v>0</v>
      </c>
      <c r="I114" s="31"/>
      <c r="J114" s="33">
        <v>46143</v>
      </c>
      <c r="K114" s="32">
        <v>1</v>
      </c>
      <c r="L114" s="32">
        <v>0</v>
      </c>
      <c r="M114" s="32">
        <v>0</v>
      </c>
      <c r="N114" s="31" t="s">
        <v>164</v>
      </c>
      <c r="O114" s="34">
        <v>46203.47184027778</v>
      </c>
      <c r="P114" s="35" t="s">
        <v>162</v>
      </c>
      <c r="Q114" s="35" t="s">
        <v>70</v>
      </c>
      <c r="R114" s="33">
        <v>46183</v>
      </c>
      <c r="S114" s="30" t="s">
        <v>21</v>
      </c>
      <c r="T114" s="36">
        <v>113</v>
      </c>
      <c r="U114" s="30" t="s">
        <v>74</v>
      </c>
      <c r="V114" s="30" t="s">
        <v>73</v>
      </c>
    </row>
    <row r="115" spans="1:22" ht="375" hidden="1" x14ac:dyDescent="0.25">
      <c r="A115" s="30" t="s">
        <v>158</v>
      </c>
      <c r="B115" s="30" t="s">
        <v>64</v>
      </c>
      <c r="C115" s="30" t="s">
        <v>143</v>
      </c>
      <c r="D115" s="31" t="s">
        <v>159</v>
      </c>
      <c r="E115" s="30" t="s">
        <v>160</v>
      </c>
      <c r="F115" s="30" t="s">
        <v>22</v>
      </c>
      <c r="G115" s="31" t="s">
        <v>159</v>
      </c>
      <c r="H115" s="32">
        <v>0</v>
      </c>
      <c r="I115" s="31"/>
      <c r="J115" s="33">
        <v>46174</v>
      </c>
      <c r="K115" s="32">
        <v>0</v>
      </c>
      <c r="L115" s="32">
        <v>0</v>
      </c>
      <c r="M115" s="32">
        <v>0</v>
      </c>
      <c r="N115" s="31" t="s">
        <v>165</v>
      </c>
      <c r="O115" s="34">
        <v>46220.495532407411</v>
      </c>
      <c r="P115" s="35" t="s">
        <v>162</v>
      </c>
      <c r="Q115" s="35" t="s">
        <v>70</v>
      </c>
      <c r="R115" s="33">
        <v>46214</v>
      </c>
      <c r="S115" s="30" t="s">
        <v>21</v>
      </c>
      <c r="T115" s="36">
        <v>114</v>
      </c>
      <c r="U115" s="30" t="s">
        <v>74</v>
      </c>
      <c r="V115" s="30" t="s">
        <v>73</v>
      </c>
    </row>
    <row r="116" spans="1:22" ht="30" hidden="1" x14ac:dyDescent="0.25">
      <c r="A116" s="30" t="s">
        <v>158</v>
      </c>
      <c r="B116" s="30" t="s">
        <v>64</v>
      </c>
      <c r="C116" s="30" t="s">
        <v>143</v>
      </c>
      <c r="D116" s="31" t="s">
        <v>159</v>
      </c>
      <c r="E116" s="30" t="s">
        <v>160</v>
      </c>
      <c r="F116" s="30" t="s">
        <v>22</v>
      </c>
      <c r="G116" s="31" t="s">
        <v>159</v>
      </c>
      <c r="H116" s="32">
        <v>0</v>
      </c>
      <c r="I116" s="31"/>
      <c r="J116" s="33">
        <v>46204</v>
      </c>
      <c r="K116" s="32">
        <v>0</v>
      </c>
      <c r="L116" s="32"/>
      <c r="M116" s="32">
        <v>0</v>
      </c>
      <c r="N116" s="31"/>
      <c r="O116" s="34">
        <v>46106.67</v>
      </c>
      <c r="P116" s="35" t="s">
        <v>72</v>
      </c>
      <c r="Q116" s="35" t="s">
        <v>79</v>
      </c>
      <c r="R116" s="33">
        <v>46244</v>
      </c>
      <c r="S116" s="30" t="s">
        <v>21</v>
      </c>
      <c r="T116" s="36">
        <v>115</v>
      </c>
      <c r="U116" s="30" t="s">
        <v>74</v>
      </c>
      <c r="V116" s="30" t="s">
        <v>73</v>
      </c>
    </row>
    <row r="117" spans="1:22" ht="30" hidden="1" x14ac:dyDescent="0.25">
      <c r="A117" s="30" t="s">
        <v>158</v>
      </c>
      <c r="B117" s="30" t="s">
        <v>64</v>
      </c>
      <c r="C117" s="30" t="s">
        <v>143</v>
      </c>
      <c r="D117" s="31" t="s">
        <v>159</v>
      </c>
      <c r="E117" s="30" t="s">
        <v>160</v>
      </c>
      <c r="F117" s="30" t="s">
        <v>22</v>
      </c>
      <c r="G117" s="31" t="s">
        <v>159</v>
      </c>
      <c r="H117" s="32">
        <v>0</v>
      </c>
      <c r="I117" s="31"/>
      <c r="J117" s="33">
        <v>46235</v>
      </c>
      <c r="K117" s="32">
        <v>0</v>
      </c>
      <c r="L117" s="32"/>
      <c r="M117" s="32">
        <v>0</v>
      </c>
      <c r="N117" s="31"/>
      <c r="O117" s="34">
        <v>46106.670011574075</v>
      </c>
      <c r="P117" s="35" t="s">
        <v>72</v>
      </c>
      <c r="Q117" s="35" t="s">
        <v>79</v>
      </c>
      <c r="R117" s="33">
        <v>46275</v>
      </c>
      <c r="S117" s="30" t="s">
        <v>21</v>
      </c>
      <c r="T117" s="36">
        <v>116</v>
      </c>
      <c r="U117" s="30" t="s">
        <v>74</v>
      </c>
      <c r="V117" s="30" t="s">
        <v>73</v>
      </c>
    </row>
    <row r="118" spans="1:22" ht="30" hidden="1" x14ac:dyDescent="0.25">
      <c r="A118" s="30" t="s">
        <v>158</v>
      </c>
      <c r="B118" s="30" t="s">
        <v>64</v>
      </c>
      <c r="C118" s="30" t="s">
        <v>143</v>
      </c>
      <c r="D118" s="31" t="s">
        <v>159</v>
      </c>
      <c r="E118" s="30" t="s">
        <v>160</v>
      </c>
      <c r="F118" s="30" t="s">
        <v>22</v>
      </c>
      <c r="G118" s="31" t="s">
        <v>159</v>
      </c>
      <c r="H118" s="32">
        <v>0</v>
      </c>
      <c r="I118" s="31"/>
      <c r="J118" s="33">
        <v>46266</v>
      </c>
      <c r="K118" s="32">
        <v>0</v>
      </c>
      <c r="L118" s="32"/>
      <c r="M118" s="32">
        <v>0</v>
      </c>
      <c r="N118" s="31"/>
      <c r="O118" s="34">
        <v>46106.669930555552</v>
      </c>
      <c r="P118" s="35" t="s">
        <v>72</v>
      </c>
      <c r="Q118" s="35" t="s">
        <v>79</v>
      </c>
      <c r="R118" s="33">
        <v>46306</v>
      </c>
      <c r="S118" s="30" t="s">
        <v>21</v>
      </c>
      <c r="T118" s="36">
        <v>117</v>
      </c>
      <c r="U118" s="30" t="s">
        <v>74</v>
      </c>
      <c r="V118" s="30" t="s">
        <v>73</v>
      </c>
    </row>
    <row r="119" spans="1:22" ht="30" hidden="1" x14ac:dyDescent="0.25">
      <c r="A119" s="30" t="s">
        <v>158</v>
      </c>
      <c r="B119" s="30" t="s">
        <v>64</v>
      </c>
      <c r="C119" s="30" t="s">
        <v>143</v>
      </c>
      <c r="D119" s="31" t="s">
        <v>159</v>
      </c>
      <c r="E119" s="30" t="s">
        <v>160</v>
      </c>
      <c r="F119" s="30" t="s">
        <v>22</v>
      </c>
      <c r="G119" s="31" t="s">
        <v>159</v>
      </c>
      <c r="H119" s="32">
        <v>0</v>
      </c>
      <c r="I119" s="31"/>
      <c r="J119" s="33">
        <v>46296</v>
      </c>
      <c r="K119" s="32">
        <v>0</v>
      </c>
      <c r="L119" s="32"/>
      <c r="M119" s="32">
        <v>0</v>
      </c>
      <c r="N119" s="31"/>
      <c r="O119" s="34">
        <v>46106.669930555552</v>
      </c>
      <c r="P119" s="35" t="s">
        <v>72</v>
      </c>
      <c r="Q119" s="35" t="s">
        <v>79</v>
      </c>
      <c r="R119" s="33">
        <v>46336</v>
      </c>
      <c r="S119" s="30" t="s">
        <v>21</v>
      </c>
      <c r="T119" s="36">
        <v>118</v>
      </c>
      <c r="U119" s="30" t="s">
        <v>74</v>
      </c>
      <c r="V119" s="30" t="s">
        <v>73</v>
      </c>
    </row>
    <row r="120" spans="1:22" ht="30" hidden="1" x14ac:dyDescent="0.25">
      <c r="A120" s="30" t="s">
        <v>158</v>
      </c>
      <c r="B120" s="30" t="s">
        <v>64</v>
      </c>
      <c r="C120" s="30" t="s">
        <v>143</v>
      </c>
      <c r="D120" s="31" t="s">
        <v>159</v>
      </c>
      <c r="E120" s="30" t="s">
        <v>160</v>
      </c>
      <c r="F120" s="30" t="s">
        <v>22</v>
      </c>
      <c r="G120" s="31" t="s">
        <v>159</v>
      </c>
      <c r="H120" s="32">
        <v>0</v>
      </c>
      <c r="I120" s="31"/>
      <c r="J120" s="33">
        <v>46327</v>
      </c>
      <c r="K120" s="32">
        <v>0</v>
      </c>
      <c r="L120" s="32"/>
      <c r="M120" s="32">
        <v>0</v>
      </c>
      <c r="N120" s="31"/>
      <c r="O120" s="34">
        <v>46106.669930555552</v>
      </c>
      <c r="P120" s="35" t="s">
        <v>72</v>
      </c>
      <c r="Q120" s="35" t="s">
        <v>79</v>
      </c>
      <c r="R120" s="33">
        <v>46367</v>
      </c>
      <c r="S120" s="30" t="s">
        <v>21</v>
      </c>
      <c r="T120" s="36">
        <v>119</v>
      </c>
      <c r="U120" s="30" t="s">
        <v>74</v>
      </c>
      <c r="V120" s="30" t="s">
        <v>73</v>
      </c>
    </row>
    <row r="121" spans="1:22" ht="30" hidden="1" x14ac:dyDescent="0.25">
      <c r="A121" s="30" t="s">
        <v>158</v>
      </c>
      <c r="B121" s="30" t="s">
        <v>64</v>
      </c>
      <c r="C121" s="30" t="s">
        <v>143</v>
      </c>
      <c r="D121" s="31" t="s">
        <v>159</v>
      </c>
      <c r="E121" s="30" t="s">
        <v>160</v>
      </c>
      <c r="F121" s="30" t="s">
        <v>22</v>
      </c>
      <c r="G121" s="31" t="s">
        <v>159</v>
      </c>
      <c r="H121" s="32">
        <v>1</v>
      </c>
      <c r="I121" s="31"/>
      <c r="J121" s="33">
        <v>46357</v>
      </c>
      <c r="K121" s="32">
        <v>0</v>
      </c>
      <c r="L121" s="32"/>
      <c r="M121" s="32">
        <v>0</v>
      </c>
      <c r="N121" s="31"/>
      <c r="O121" s="34">
        <v>46106.669907407406</v>
      </c>
      <c r="P121" s="35" t="s">
        <v>72</v>
      </c>
      <c r="Q121" s="35" t="s">
        <v>79</v>
      </c>
      <c r="R121" s="33">
        <v>46397</v>
      </c>
      <c r="S121" s="30" t="s">
        <v>21</v>
      </c>
      <c r="T121" s="36">
        <v>120</v>
      </c>
      <c r="U121" s="30" t="s">
        <v>74</v>
      </c>
      <c r="V121" s="30" t="s">
        <v>73</v>
      </c>
    </row>
    <row r="122" spans="1:22" ht="135" hidden="1" x14ac:dyDescent="0.25">
      <c r="A122" s="30" t="s">
        <v>166</v>
      </c>
      <c r="B122" s="30" t="s">
        <v>64</v>
      </c>
      <c r="C122" s="30" t="s">
        <v>167</v>
      </c>
      <c r="D122" s="31" t="s">
        <v>168</v>
      </c>
      <c r="E122" s="30" t="s">
        <v>67</v>
      </c>
      <c r="F122" s="30" t="s">
        <v>18</v>
      </c>
      <c r="G122" s="31" t="s">
        <v>169</v>
      </c>
      <c r="H122" s="32">
        <v>9.9000000000000005E-2</v>
      </c>
      <c r="I122" s="31"/>
      <c r="J122" s="33">
        <v>46023</v>
      </c>
      <c r="K122" s="32">
        <v>2.47E-2</v>
      </c>
      <c r="L122" s="32">
        <v>0.247</v>
      </c>
      <c r="M122" s="32">
        <v>0.247</v>
      </c>
      <c r="N122" s="31" t="s">
        <v>170</v>
      </c>
      <c r="O122" s="34">
        <v>46220.792812500003</v>
      </c>
      <c r="P122" s="35" t="s">
        <v>109</v>
      </c>
      <c r="Q122" s="35" t="s">
        <v>70</v>
      </c>
      <c r="R122" s="33">
        <v>46063</v>
      </c>
      <c r="S122" s="30" t="s">
        <v>21</v>
      </c>
      <c r="T122" s="36">
        <v>121</v>
      </c>
      <c r="U122" s="30" t="s">
        <v>74</v>
      </c>
      <c r="V122" s="30" t="s">
        <v>73</v>
      </c>
    </row>
    <row r="123" spans="1:22" ht="90" hidden="1" x14ac:dyDescent="0.25">
      <c r="A123" s="30" t="s">
        <v>166</v>
      </c>
      <c r="B123" s="30" t="s">
        <v>64</v>
      </c>
      <c r="C123" s="30" t="s">
        <v>167</v>
      </c>
      <c r="D123" s="31" t="s">
        <v>168</v>
      </c>
      <c r="E123" s="30" t="s">
        <v>67</v>
      </c>
      <c r="F123" s="30" t="s">
        <v>18</v>
      </c>
      <c r="G123" s="31" t="s">
        <v>169</v>
      </c>
      <c r="H123" s="32">
        <v>9.9000000000000005E-2</v>
      </c>
      <c r="I123" s="31"/>
      <c r="J123" s="33">
        <v>46054</v>
      </c>
      <c r="K123" s="32">
        <v>5.8400000000000001E-2</v>
      </c>
      <c r="L123" s="32">
        <v>0.58399999999999996</v>
      </c>
      <c r="M123" s="32">
        <v>0.58399999999999996</v>
      </c>
      <c r="N123" s="31" t="s">
        <v>171</v>
      </c>
      <c r="O123" s="34">
        <v>46220.792916666665</v>
      </c>
      <c r="P123" s="35" t="s">
        <v>109</v>
      </c>
      <c r="Q123" s="35" t="s">
        <v>70</v>
      </c>
      <c r="R123" s="33">
        <v>46094</v>
      </c>
      <c r="S123" s="30" t="s">
        <v>21</v>
      </c>
      <c r="T123" s="36">
        <v>122</v>
      </c>
      <c r="U123" s="30" t="s">
        <v>74</v>
      </c>
      <c r="V123" s="30" t="s">
        <v>73</v>
      </c>
    </row>
    <row r="124" spans="1:22" ht="120" hidden="1" x14ac:dyDescent="0.25">
      <c r="A124" s="30" t="s">
        <v>166</v>
      </c>
      <c r="B124" s="30" t="s">
        <v>64</v>
      </c>
      <c r="C124" s="30" t="s">
        <v>167</v>
      </c>
      <c r="D124" s="31" t="s">
        <v>168</v>
      </c>
      <c r="E124" s="30" t="s">
        <v>67</v>
      </c>
      <c r="F124" s="30" t="s">
        <v>18</v>
      </c>
      <c r="G124" s="31" t="s">
        <v>169</v>
      </c>
      <c r="H124" s="32">
        <v>9.9000000000000005E-2</v>
      </c>
      <c r="I124" s="31"/>
      <c r="J124" s="33">
        <v>46082</v>
      </c>
      <c r="K124" s="32">
        <v>6.0100000000000001E-2</v>
      </c>
      <c r="L124" s="32">
        <v>0.60099999999999998</v>
      </c>
      <c r="M124" s="32">
        <v>0.60099999999999998</v>
      </c>
      <c r="N124" s="31" t="s">
        <v>172</v>
      </c>
      <c r="O124" s="34">
        <v>46220.793043981481</v>
      </c>
      <c r="P124" s="35" t="s">
        <v>109</v>
      </c>
      <c r="Q124" s="35" t="s">
        <v>70</v>
      </c>
      <c r="R124" s="33">
        <v>46122</v>
      </c>
      <c r="S124" s="30" t="s">
        <v>21</v>
      </c>
      <c r="T124" s="36">
        <v>123</v>
      </c>
      <c r="U124" s="30" t="s">
        <v>74</v>
      </c>
      <c r="V124" s="30" t="s">
        <v>73</v>
      </c>
    </row>
    <row r="125" spans="1:22" ht="60" hidden="1" x14ac:dyDescent="0.25">
      <c r="A125" s="30" t="s">
        <v>166</v>
      </c>
      <c r="B125" s="30" t="s">
        <v>64</v>
      </c>
      <c r="C125" s="30" t="s">
        <v>167</v>
      </c>
      <c r="D125" s="31" t="s">
        <v>168</v>
      </c>
      <c r="E125" s="30" t="s">
        <v>67</v>
      </c>
      <c r="F125" s="30" t="s">
        <v>18</v>
      </c>
      <c r="G125" s="31" t="s">
        <v>169</v>
      </c>
      <c r="H125" s="32">
        <v>8.5999999999999993E-2</v>
      </c>
      <c r="I125" s="31"/>
      <c r="J125" s="33">
        <v>46113</v>
      </c>
      <c r="K125" s="32">
        <v>4.0300000000000002E-2</v>
      </c>
      <c r="L125" s="32">
        <v>0.40300000000000002</v>
      </c>
      <c r="M125" s="32">
        <v>0.40300000000000002</v>
      </c>
      <c r="N125" s="31" t="s">
        <v>173</v>
      </c>
      <c r="O125" s="34">
        <v>46220.793252314812</v>
      </c>
      <c r="P125" s="35" t="s">
        <v>109</v>
      </c>
      <c r="Q125" s="35" t="s">
        <v>79</v>
      </c>
      <c r="R125" s="33">
        <v>46153</v>
      </c>
      <c r="S125" s="30" t="s">
        <v>21</v>
      </c>
      <c r="T125" s="36">
        <v>124</v>
      </c>
      <c r="U125" s="30" t="s">
        <v>74</v>
      </c>
      <c r="V125" s="30" t="s">
        <v>73</v>
      </c>
    </row>
    <row r="126" spans="1:22" ht="60" hidden="1" x14ac:dyDescent="0.25">
      <c r="A126" s="30" t="s">
        <v>166</v>
      </c>
      <c r="B126" s="30" t="s">
        <v>64</v>
      </c>
      <c r="C126" s="30" t="s">
        <v>167</v>
      </c>
      <c r="D126" s="31" t="s">
        <v>168</v>
      </c>
      <c r="E126" s="30" t="s">
        <v>67</v>
      </c>
      <c r="F126" s="30" t="s">
        <v>18</v>
      </c>
      <c r="G126" s="31" t="s">
        <v>169</v>
      </c>
      <c r="H126" s="32">
        <v>8.5999999999999993E-2</v>
      </c>
      <c r="I126" s="31"/>
      <c r="J126" s="33">
        <v>46143</v>
      </c>
      <c r="K126" s="32">
        <v>4.07E-2</v>
      </c>
      <c r="L126" s="32">
        <v>0.40699999999999997</v>
      </c>
      <c r="M126" s="32">
        <v>0.40699999999999997</v>
      </c>
      <c r="N126" s="31" t="s">
        <v>174</v>
      </c>
      <c r="O126" s="34">
        <v>46220.793368055558</v>
      </c>
      <c r="P126" s="35" t="s">
        <v>109</v>
      </c>
      <c r="Q126" s="35" t="s">
        <v>79</v>
      </c>
      <c r="R126" s="33">
        <v>46183</v>
      </c>
      <c r="S126" s="30" t="s">
        <v>21</v>
      </c>
      <c r="T126" s="36">
        <v>125</v>
      </c>
      <c r="U126" s="30" t="s">
        <v>74</v>
      </c>
      <c r="V126" s="30" t="s">
        <v>73</v>
      </c>
    </row>
    <row r="127" spans="1:22" ht="75" hidden="1" x14ac:dyDescent="0.25">
      <c r="A127" s="30" t="s">
        <v>166</v>
      </c>
      <c r="B127" s="30" t="s">
        <v>64</v>
      </c>
      <c r="C127" s="30" t="s">
        <v>167</v>
      </c>
      <c r="D127" s="31" t="s">
        <v>168</v>
      </c>
      <c r="E127" s="30" t="s">
        <v>67</v>
      </c>
      <c r="F127" s="30" t="s">
        <v>18</v>
      </c>
      <c r="G127" s="31" t="s">
        <v>169</v>
      </c>
      <c r="H127" s="32">
        <v>8.5999999999999993E-2</v>
      </c>
      <c r="I127" s="31"/>
      <c r="J127" s="33">
        <v>46174</v>
      </c>
      <c r="K127" s="32">
        <v>4.2200000000000001E-2</v>
      </c>
      <c r="L127" s="32">
        <v>0.42199999999999999</v>
      </c>
      <c r="M127" s="32">
        <v>0.42199999999999999</v>
      </c>
      <c r="N127" s="31" t="s">
        <v>175</v>
      </c>
      <c r="O127" s="34">
        <v>46220.79346064815</v>
      </c>
      <c r="P127" s="35" t="s">
        <v>109</v>
      </c>
      <c r="Q127" s="35" t="s">
        <v>79</v>
      </c>
      <c r="R127" s="33">
        <v>46214</v>
      </c>
      <c r="S127" s="30" t="s">
        <v>21</v>
      </c>
      <c r="T127" s="36">
        <v>126</v>
      </c>
      <c r="U127" s="30" t="s">
        <v>74</v>
      </c>
      <c r="V127" s="30" t="s">
        <v>73</v>
      </c>
    </row>
    <row r="128" spans="1:22" hidden="1" x14ac:dyDescent="0.25">
      <c r="A128" s="30" t="s">
        <v>166</v>
      </c>
      <c r="B128" s="30" t="s">
        <v>64</v>
      </c>
      <c r="C128" s="30" t="s">
        <v>167</v>
      </c>
      <c r="D128" s="31" t="s">
        <v>168</v>
      </c>
      <c r="E128" s="30" t="s">
        <v>67</v>
      </c>
      <c r="F128" s="30" t="s">
        <v>18</v>
      </c>
      <c r="G128" s="31" t="s">
        <v>169</v>
      </c>
      <c r="H128" s="32">
        <v>8.1000000000000003E-2</v>
      </c>
      <c r="I128" s="31"/>
      <c r="J128" s="33">
        <v>46204</v>
      </c>
      <c r="K128" s="32">
        <v>0</v>
      </c>
      <c r="L128" s="32"/>
      <c r="M128" s="32">
        <v>0</v>
      </c>
      <c r="N128" s="31"/>
      <c r="O128" s="34">
        <v>46220.793576388889</v>
      </c>
      <c r="P128" s="35" t="s">
        <v>109</v>
      </c>
      <c r="Q128" s="35" t="s">
        <v>79</v>
      </c>
      <c r="R128" s="33">
        <v>46244</v>
      </c>
      <c r="S128" s="30" t="s">
        <v>21</v>
      </c>
      <c r="T128" s="36">
        <v>127</v>
      </c>
      <c r="U128" s="30" t="s">
        <v>74</v>
      </c>
      <c r="V128" s="30" t="s">
        <v>73</v>
      </c>
    </row>
    <row r="129" spans="1:22" hidden="1" x14ac:dyDescent="0.25">
      <c r="A129" s="30" t="s">
        <v>166</v>
      </c>
      <c r="B129" s="30" t="s">
        <v>64</v>
      </c>
      <c r="C129" s="30" t="s">
        <v>167</v>
      </c>
      <c r="D129" s="31" t="s">
        <v>168</v>
      </c>
      <c r="E129" s="30" t="s">
        <v>67</v>
      </c>
      <c r="F129" s="30" t="s">
        <v>18</v>
      </c>
      <c r="G129" s="31" t="s">
        <v>169</v>
      </c>
      <c r="H129" s="32">
        <v>8.1000000000000003E-2</v>
      </c>
      <c r="I129" s="31"/>
      <c r="J129" s="33">
        <v>46235</v>
      </c>
      <c r="K129" s="32">
        <v>0</v>
      </c>
      <c r="L129" s="32"/>
      <c r="M129" s="32">
        <v>0</v>
      </c>
      <c r="N129" s="31"/>
      <c r="O129" s="34">
        <v>46220.793634259258</v>
      </c>
      <c r="P129" s="35" t="s">
        <v>109</v>
      </c>
      <c r="Q129" s="35" t="s">
        <v>79</v>
      </c>
      <c r="R129" s="33">
        <v>46275</v>
      </c>
      <c r="S129" s="30" t="s">
        <v>21</v>
      </c>
      <c r="T129" s="36">
        <v>128</v>
      </c>
      <c r="U129" s="30" t="s">
        <v>74</v>
      </c>
      <c r="V129" s="30" t="s">
        <v>73</v>
      </c>
    </row>
    <row r="130" spans="1:22" hidden="1" x14ac:dyDescent="0.25">
      <c r="A130" s="30" t="s">
        <v>166</v>
      </c>
      <c r="B130" s="30" t="s">
        <v>64</v>
      </c>
      <c r="C130" s="30" t="s">
        <v>167</v>
      </c>
      <c r="D130" s="31" t="s">
        <v>168</v>
      </c>
      <c r="E130" s="30" t="s">
        <v>67</v>
      </c>
      <c r="F130" s="30" t="s">
        <v>18</v>
      </c>
      <c r="G130" s="31" t="s">
        <v>169</v>
      </c>
      <c r="H130" s="32">
        <v>8.1000000000000003E-2</v>
      </c>
      <c r="I130" s="31"/>
      <c r="J130" s="33">
        <v>46266</v>
      </c>
      <c r="K130" s="32">
        <v>0</v>
      </c>
      <c r="L130" s="32"/>
      <c r="M130" s="32">
        <v>0</v>
      </c>
      <c r="N130" s="31"/>
      <c r="O130" s="34">
        <v>46220.793715277781</v>
      </c>
      <c r="P130" s="35" t="s">
        <v>109</v>
      </c>
      <c r="Q130" s="35" t="s">
        <v>79</v>
      </c>
      <c r="R130" s="33">
        <v>46306</v>
      </c>
      <c r="S130" s="30" t="s">
        <v>21</v>
      </c>
      <c r="T130" s="36">
        <v>129</v>
      </c>
      <c r="U130" s="30" t="s">
        <v>74</v>
      </c>
      <c r="V130" s="30" t="s">
        <v>73</v>
      </c>
    </row>
    <row r="131" spans="1:22" hidden="1" x14ac:dyDescent="0.25">
      <c r="A131" s="30" t="s">
        <v>166</v>
      </c>
      <c r="B131" s="30" t="s">
        <v>64</v>
      </c>
      <c r="C131" s="30" t="s">
        <v>167</v>
      </c>
      <c r="D131" s="31" t="s">
        <v>168</v>
      </c>
      <c r="E131" s="30" t="s">
        <v>67</v>
      </c>
      <c r="F131" s="30" t="s">
        <v>18</v>
      </c>
      <c r="G131" s="31" t="s">
        <v>169</v>
      </c>
      <c r="H131" s="32">
        <v>7.1999999999999995E-2</v>
      </c>
      <c r="I131" s="31"/>
      <c r="J131" s="33">
        <v>46296</v>
      </c>
      <c r="K131" s="32">
        <v>0</v>
      </c>
      <c r="L131" s="32"/>
      <c r="M131" s="32">
        <v>0</v>
      </c>
      <c r="N131" s="31"/>
      <c r="O131" s="34">
        <v>46220.793842592589</v>
      </c>
      <c r="P131" s="35" t="s">
        <v>109</v>
      </c>
      <c r="Q131" s="35" t="s">
        <v>79</v>
      </c>
      <c r="R131" s="33">
        <v>46336</v>
      </c>
      <c r="S131" s="30" t="s">
        <v>21</v>
      </c>
      <c r="T131" s="36">
        <v>130</v>
      </c>
      <c r="U131" s="30" t="s">
        <v>74</v>
      </c>
      <c r="V131" s="30" t="s">
        <v>73</v>
      </c>
    </row>
    <row r="132" spans="1:22" hidden="1" x14ac:dyDescent="0.25">
      <c r="A132" s="30" t="s">
        <v>166</v>
      </c>
      <c r="B132" s="30" t="s">
        <v>64</v>
      </c>
      <c r="C132" s="30" t="s">
        <v>167</v>
      </c>
      <c r="D132" s="31" t="s">
        <v>168</v>
      </c>
      <c r="E132" s="30" t="s">
        <v>67</v>
      </c>
      <c r="F132" s="30" t="s">
        <v>18</v>
      </c>
      <c r="G132" s="31" t="s">
        <v>169</v>
      </c>
      <c r="H132" s="32">
        <v>7.1999999999999995E-2</v>
      </c>
      <c r="I132" s="31"/>
      <c r="J132" s="33">
        <v>46327</v>
      </c>
      <c r="K132" s="32">
        <v>0</v>
      </c>
      <c r="L132" s="32"/>
      <c r="M132" s="32">
        <v>0</v>
      </c>
      <c r="N132" s="31"/>
      <c r="O132" s="34">
        <v>46220.793912037036</v>
      </c>
      <c r="P132" s="35" t="s">
        <v>109</v>
      </c>
      <c r="Q132" s="35" t="s">
        <v>79</v>
      </c>
      <c r="R132" s="33">
        <v>46367</v>
      </c>
      <c r="S132" s="30" t="s">
        <v>21</v>
      </c>
      <c r="T132" s="36">
        <v>131</v>
      </c>
      <c r="U132" s="30" t="s">
        <v>74</v>
      </c>
      <c r="V132" s="30" t="s">
        <v>73</v>
      </c>
    </row>
    <row r="133" spans="1:22" hidden="1" x14ac:dyDescent="0.25">
      <c r="A133" s="30" t="s">
        <v>166</v>
      </c>
      <c r="B133" s="30" t="s">
        <v>64</v>
      </c>
      <c r="C133" s="30" t="s">
        <v>167</v>
      </c>
      <c r="D133" s="31" t="s">
        <v>168</v>
      </c>
      <c r="E133" s="30" t="s">
        <v>67</v>
      </c>
      <c r="F133" s="30" t="s">
        <v>18</v>
      </c>
      <c r="G133" s="31" t="s">
        <v>169</v>
      </c>
      <c r="H133" s="32">
        <v>7.1999999999999995E-2</v>
      </c>
      <c r="I133" s="31"/>
      <c r="J133" s="33">
        <v>46357</v>
      </c>
      <c r="K133" s="32">
        <v>0</v>
      </c>
      <c r="L133" s="32"/>
      <c r="M133" s="32">
        <v>0</v>
      </c>
      <c r="N133" s="31"/>
      <c r="O133" s="34">
        <v>46220.793969907405</v>
      </c>
      <c r="P133" s="35" t="s">
        <v>109</v>
      </c>
      <c r="Q133" s="35" t="s">
        <v>79</v>
      </c>
      <c r="R133" s="33">
        <v>46397</v>
      </c>
      <c r="S133" s="30" t="s">
        <v>21</v>
      </c>
      <c r="T133" s="36">
        <v>132</v>
      </c>
      <c r="U133" s="30" t="s">
        <v>74</v>
      </c>
      <c r="V133" s="30" t="s">
        <v>73</v>
      </c>
    </row>
    <row r="134" spans="1:22" ht="75" hidden="1" x14ac:dyDescent="0.25">
      <c r="A134" s="30" t="s">
        <v>176</v>
      </c>
      <c r="B134" s="30" t="s">
        <v>177</v>
      </c>
      <c r="C134" s="30" t="s">
        <v>65</v>
      </c>
      <c r="D134" s="31" t="s">
        <v>178</v>
      </c>
      <c r="E134" s="30" t="s">
        <v>67</v>
      </c>
      <c r="F134" s="30" t="s">
        <v>18</v>
      </c>
      <c r="G134" s="31" t="s">
        <v>179</v>
      </c>
      <c r="H134" s="32">
        <v>0.28000000000000003</v>
      </c>
      <c r="I134" s="31"/>
      <c r="J134" s="33">
        <v>46023</v>
      </c>
      <c r="K134" s="32">
        <v>0.74129999999999996</v>
      </c>
      <c r="L134" s="32">
        <v>2.6475</v>
      </c>
      <c r="M134" s="32">
        <v>1</v>
      </c>
      <c r="N134" s="31" t="s">
        <v>180</v>
      </c>
      <c r="O134" s="34">
        <v>46132.787592592591</v>
      </c>
      <c r="P134" s="35" t="s">
        <v>76</v>
      </c>
      <c r="Q134" s="35" t="s">
        <v>70</v>
      </c>
      <c r="R134" s="33">
        <v>46063</v>
      </c>
      <c r="S134" s="30" t="s">
        <v>21</v>
      </c>
      <c r="T134" s="36">
        <v>133</v>
      </c>
      <c r="U134" s="30" t="s">
        <v>74</v>
      </c>
      <c r="V134" s="30" t="s">
        <v>73</v>
      </c>
    </row>
    <row r="135" spans="1:22" ht="90" hidden="1" x14ac:dyDescent="0.25">
      <c r="A135" s="30" t="s">
        <v>176</v>
      </c>
      <c r="B135" s="30" t="s">
        <v>177</v>
      </c>
      <c r="C135" s="30" t="s">
        <v>65</v>
      </c>
      <c r="D135" s="31" t="s">
        <v>178</v>
      </c>
      <c r="E135" s="30" t="s">
        <v>67</v>
      </c>
      <c r="F135" s="30" t="s">
        <v>18</v>
      </c>
      <c r="G135" s="31" t="s">
        <v>179</v>
      </c>
      <c r="H135" s="32">
        <v>0.28000000000000003</v>
      </c>
      <c r="I135" s="31"/>
      <c r="J135" s="33">
        <v>46054</v>
      </c>
      <c r="K135" s="32">
        <v>0.755</v>
      </c>
      <c r="L135" s="32">
        <v>2.6964285714285698</v>
      </c>
      <c r="M135" s="32">
        <v>1</v>
      </c>
      <c r="N135" s="31" t="s">
        <v>181</v>
      </c>
      <c r="O135" s="34">
        <v>46132.788287037038</v>
      </c>
      <c r="P135" s="35" t="s">
        <v>76</v>
      </c>
      <c r="Q135" s="35" t="s">
        <v>70</v>
      </c>
      <c r="R135" s="33">
        <v>46094</v>
      </c>
      <c r="S135" s="30" t="s">
        <v>21</v>
      </c>
      <c r="T135" s="36">
        <v>134</v>
      </c>
      <c r="U135" s="30" t="s">
        <v>74</v>
      </c>
      <c r="V135" s="30" t="s">
        <v>73</v>
      </c>
    </row>
    <row r="136" spans="1:22" ht="75" hidden="1" x14ac:dyDescent="0.25">
      <c r="A136" s="30" t="s">
        <v>176</v>
      </c>
      <c r="B136" s="30" t="s">
        <v>177</v>
      </c>
      <c r="C136" s="30" t="s">
        <v>65</v>
      </c>
      <c r="D136" s="31" t="s">
        <v>178</v>
      </c>
      <c r="E136" s="30" t="s">
        <v>67</v>
      </c>
      <c r="F136" s="30" t="s">
        <v>18</v>
      </c>
      <c r="G136" s="31" t="s">
        <v>179</v>
      </c>
      <c r="H136" s="32">
        <v>0.28000000000000003</v>
      </c>
      <c r="I136" s="31"/>
      <c r="J136" s="33">
        <v>46082</v>
      </c>
      <c r="K136" s="32">
        <v>0.79790000000000005</v>
      </c>
      <c r="L136" s="32">
        <v>2.84964285714286</v>
      </c>
      <c r="M136" s="32">
        <v>1</v>
      </c>
      <c r="N136" s="31" t="s">
        <v>182</v>
      </c>
      <c r="O136" s="34">
        <v>46132.788657407407</v>
      </c>
      <c r="P136" s="35" t="s">
        <v>76</v>
      </c>
      <c r="Q136" s="35" t="s">
        <v>70</v>
      </c>
      <c r="R136" s="33">
        <v>46122</v>
      </c>
      <c r="S136" s="30" t="s">
        <v>21</v>
      </c>
      <c r="T136" s="36">
        <v>135</v>
      </c>
      <c r="U136" s="30" t="s">
        <v>74</v>
      </c>
      <c r="V136" s="30" t="s">
        <v>73</v>
      </c>
    </row>
    <row r="137" spans="1:22" ht="45" hidden="1" x14ac:dyDescent="0.25">
      <c r="A137" s="30" t="s">
        <v>176</v>
      </c>
      <c r="B137" s="30" t="s">
        <v>177</v>
      </c>
      <c r="C137" s="30" t="s">
        <v>65</v>
      </c>
      <c r="D137" s="31" t="s">
        <v>178</v>
      </c>
      <c r="E137" s="30" t="s">
        <v>67</v>
      </c>
      <c r="F137" s="30" t="s">
        <v>18</v>
      </c>
      <c r="G137" s="31" t="s">
        <v>179</v>
      </c>
      <c r="H137" s="32">
        <v>0.28000000000000003</v>
      </c>
      <c r="I137" s="31"/>
      <c r="J137" s="33">
        <v>46113</v>
      </c>
      <c r="K137" s="32">
        <v>0.7046</v>
      </c>
      <c r="L137" s="32">
        <v>2.5164285714285701</v>
      </c>
      <c r="M137" s="32">
        <v>1</v>
      </c>
      <c r="N137" s="31" t="s">
        <v>183</v>
      </c>
      <c r="O137" s="34">
        <v>46219.833981481483</v>
      </c>
      <c r="P137" s="35" t="s">
        <v>76</v>
      </c>
      <c r="Q137" s="35" t="s">
        <v>79</v>
      </c>
      <c r="R137" s="33">
        <v>46153</v>
      </c>
      <c r="S137" s="30" t="s">
        <v>21</v>
      </c>
      <c r="T137" s="36">
        <v>136</v>
      </c>
      <c r="U137" s="30" t="s">
        <v>74</v>
      </c>
      <c r="V137" s="30" t="s">
        <v>73</v>
      </c>
    </row>
    <row r="138" spans="1:22" ht="45" hidden="1" x14ac:dyDescent="0.25">
      <c r="A138" s="30" t="s">
        <v>176</v>
      </c>
      <c r="B138" s="30" t="s">
        <v>177</v>
      </c>
      <c r="C138" s="30" t="s">
        <v>65</v>
      </c>
      <c r="D138" s="31" t="s">
        <v>178</v>
      </c>
      <c r="E138" s="30" t="s">
        <v>67</v>
      </c>
      <c r="F138" s="30" t="s">
        <v>18</v>
      </c>
      <c r="G138" s="31" t="s">
        <v>179</v>
      </c>
      <c r="H138" s="32">
        <v>0.28000000000000003</v>
      </c>
      <c r="I138" s="31"/>
      <c r="J138" s="33">
        <v>46143</v>
      </c>
      <c r="K138" s="32">
        <v>0.73089999999999999</v>
      </c>
      <c r="L138" s="32">
        <v>2.6103571428571399</v>
      </c>
      <c r="M138" s="32">
        <v>1</v>
      </c>
      <c r="N138" s="31" t="s">
        <v>183</v>
      </c>
      <c r="O138" s="34">
        <v>46219.834421296298</v>
      </c>
      <c r="P138" s="35" t="s">
        <v>76</v>
      </c>
      <c r="Q138" s="35" t="s">
        <v>79</v>
      </c>
      <c r="R138" s="33">
        <v>46183</v>
      </c>
      <c r="S138" s="30" t="s">
        <v>21</v>
      </c>
      <c r="T138" s="36">
        <v>137</v>
      </c>
      <c r="U138" s="30" t="s">
        <v>74</v>
      </c>
      <c r="V138" s="30" t="s">
        <v>73</v>
      </c>
    </row>
    <row r="139" spans="1:22" ht="60" hidden="1" x14ac:dyDescent="0.25">
      <c r="A139" s="30" t="s">
        <v>176</v>
      </c>
      <c r="B139" s="30" t="s">
        <v>177</v>
      </c>
      <c r="C139" s="30" t="s">
        <v>65</v>
      </c>
      <c r="D139" s="31" t="s">
        <v>178</v>
      </c>
      <c r="E139" s="30" t="s">
        <v>67</v>
      </c>
      <c r="F139" s="30" t="s">
        <v>18</v>
      </c>
      <c r="G139" s="31" t="s">
        <v>179</v>
      </c>
      <c r="H139" s="32">
        <v>0.28000000000000003</v>
      </c>
      <c r="I139" s="31"/>
      <c r="J139" s="33">
        <v>46174</v>
      </c>
      <c r="K139" s="32">
        <v>0.62160000000000004</v>
      </c>
      <c r="L139" s="32">
        <v>2.2200000000000002</v>
      </c>
      <c r="M139" s="32">
        <v>1</v>
      </c>
      <c r="N139" s="31" t="s">
        <v>184</v>
      </c>
      <c r="O139" s="34">
        <v>46219.835844907408</v>
      </c>
      <c r="P139" s="35" t="s">
        <v>76</v>
      </c>
      <c r="Q139" s="35" t="s">
        <v>79</v>
      </c>
      <c r="R139" s="33">
        <v>46214</v>
      </c>
      <c r="S139" s="30" t="s">
        <v>21</v>
      </c>
      <c r="T139" s="36">
        <v>138</v>
      </c>
      <c r="U139" s="30" t="s">
        <v>74</v>
      </c>
      <c r="V139" s="30" t="s">
        <v>73</v>
      </c>
    </row>
    <row r="140" spans="1:22" ht="30" hidden="1" x14ac:dyDescent="0.25">
      <c r="A140" s="30" t="s">
        <v>176</v>
      </c>
      <c r="B140" s="30" t="s">
        <v>177</v>
      </c>
      <c r="C140" s="30" t="s">
        <v>65</v>
      </c>
      <c r="D140" s="31" t="s">
        <v>178</v>
      </c>
      <c r="E140" s="30" t="s">
        <v>67</v>
      </c>
      <c r="F140" s="30" t="s">
        <v>18</v>
      </c>
      <c r="G140" s="31" t="s">
        <v>179</v>
      </c>
      <c r="H140" s="32">
        <v>0.28000000000000003</v>
      </c>
      <c r="I140" s="31"/>
      <c r="J140" s="33">
        <v>46204</v>
      </c>
      <c r="K140" s="32">
        <v>0</v>
      </c>
      <c r="L140" s="32"/>
      <c r="M140" s="32">
        <v>0</v>
      </c>
      <c r="N140" s="31"/>
      <c r="O140" s="34">
        <v>46119.725659722222</v>
      </c>
      <c r="P140" s="35" t="s">
        <v>72</v>
      </c>
      <c r="Q140" s="35" t="s">
        <v>79</v>
      </c>
      <c r="R140" s="33">
        <v>46244</v>
      </c>
      <c r="S140" s="30" t="s">
        <v>21</v>
      </c>
      <c r="T140" s="36">
        <v>139</v>
      </c>
      <c r="U140" s="30" t="s">
        <v>74</v>
      </c>
      <c r="V140" s="30" t="s">
        <v>73</v>
      </c>
    </row>
    <row r="141" spans="1:22" ht="30" hidden="1" x14ac:dyDescent="0.25">
      <c r="A141" s="30" t="s">
        <v>176</v>
      </c>
      <c r="B141" s="30" t="s">
        <v>177</v>
      </c>
      <c r="C141" s="30" t="s">
        <v>65</v>
      </c>
      <c r="D141" s="31" t="s">
        <v>178</v>
      </c>
      <c r="E141" s="30" t="s">
        <v>67</v>
      </c>
      <c r="F141" s="30" t="s">
        <v>18</v>
      </c>
      <c r="G141" s="31" t="s">
        <v>179</v>
      </c>
      <c r="H141" s="32">
        <v>0.28000000000000003</v>
      </c>
      <c r="I141" s="31"/>
      <c r="J141" s="33">
        <v>46235</v>
      </c>
      <c r="K141" s="32">
        <v>0</v>
      </c>
      <c r="L141" s="32"/>
      <c r="M141" s="32">
        <v>0</v>
      </c>
      <c r="N141" s="31"/>
      <c r="O141" s="34">
        <v>46119.725659722222</v>
      </c>
      <c r="P141" s="35" t="s">
        <v>72</v>
      </c>
      <c r="Q141" s="35" t="s">
        <v>79</v>
      </c>
      <c r="R141" s="33">
        <v>46275</v>
      </c>
      <c r="S141" s="30" t="s">
        <v>21</v>
      </c>
      <c r="T141" s="36">
        <v>140</v>
      </c>
      <c r="U141" s="30" t="s">
        <v>74</v>
      </c>
      <c r="V141" s="30" t="s">
        <v>73</v>
      </c>
    </row>
    <row r="142" spans="1:22" ht="30" hidden="1" x14ac:dyDescent="0.25">
      <c r="A142" s="30" t="s">
        <v>176</v>
      </c>
      <c r="B142" s="30" t="s">
        <v>177</v>
      </c>
      <c r="C142" s="30" t="s">
        <v>65</v>
      </c>
      <c r="D142" s="31" t="s">
        <v>178</v>
      </c>
      <c r="E142" s="30" t="s">
        <v>67</v>
      </c>
      <c r="F142" s="30" t="s">
        <v>18</v>
      </c>
      <c r="G142" s="31" t="s">
        <v>179</v>
      </c>
      <c r="H142" s="32">
        <v>0.28000000000000003</v>
      </c>
      <c r="I142" s="31"/>
      <c r="J142" s="33">
        <v>46266</v>
      </c>
      <c r="K142" s="32">
        <v>0</v>
      </c>
      <c r="L142" s="32"/>
      <c r="M142" s="32">
        <v>0</v>
      </c>
      <c r="N142" s="31"/>
      <c r="O142" s="34">
        <v>46119.725659722222</v>
      </c>
      <c r="P142" s="35" t="s">
        <v>72</v>
      </c>
      <c r="Q142" s="35" t="s">
        <v>79</v>
      </c>
      <c r="R142" s="33">
        <v>46306</v>
      </c>
      <c r="S142" s="30" t="s">
        <v>21</v>
      </c>
      <c r="T142" s="36">
        <v>141</v>
      </c>
      <c r="U142" s="30" t="s">
        <v>74</v>
      </c>
      <c r="V142" s="30" t="s">
        <v>73</v>
      </c>
    </row>
    <row r="143" spans="1:22" ht="30" hidden="1" x14ac:dyDescent="0.25">
      <c r="A143" s="30" t="s">
        <v>176</v>
      </c>
      <c r="B143" s="30" t="s">
        <v>177</v>
      </c>
      <c r="C143" s="30" t="s">
        <v>65</v>
      </c>
      <c r="D143" s="31" t="s">
        <v>178</v>
      </c>
      <c r="E143" s="30" t="s">
        <v>67</v>
      </c>
      <c r="F143" s="30" t="s">
        <v>18</v>
      </c>
      <c r="G143" s="31" t="s">
        <v>179</v>
      </c>
      <c r="H143" s="32">
        <v>0.28000000000000003</v>
      </c>
      <c r="I143" s="31"/>
      <c r="J143" s="33">
        <v>46296</v>
      </c>
      <c r="K143" s="32">
        <v>0</v>
      </c>
      <c r="L143" s="32"/>
      <c r="M143" s="32">
        <v>0</v>
      </c>
      <c r="N143" s="31"/>
      <c r="O143" s="34">
        <v>46119.725671296299</v>
      </c>
      <c r="P143" s="35" t="s">
        <v>72</v>
      </c>
      <c r="Q143" s="35" t="s">
        <v>79</v>
      </c>
      <c r="R143" s="33">
        <v>46336</v>
      </c>
      <c r="S143" s="30" t="s">
        <v>21</v>
      </c>
      <c r="T143" s="36">
        <v>142</v>
      </c>
      <c r="U143" s="30" t="s">
        <v>74</v>
      </c>
      <c r="V143" s="30" t="s">
        <v>73</v>
      </c>
    </row>
    <row r="144" spans="1:22" ht="30" hidden="1" x14ac:dyDescent="0.25">
      <c r="A144" s="30" t="s">
        <v>176</v>
      </c>
      <c r="B144" s="30" t="s">
        <v>177</v>
      </c>
      <c r="C144" s="30" t="s">
        <v>65</v>
      </c>
      <c r="D144" s="31" t="s">
        <v>178</v>
      </c>
      <c r="E144" s="30" t="s">
        <v>67</v>
      </c>
      <c r="F144" s="30" t="s">
        <v>18</v>
      </c>
      <c r="G144" s="31" t="s">
        <v>179</v>
      </c>
      <c r="H144" s="32">
        <v>0.28000000000000003</v>
      </c>
      <c r="I144" s="31"/>
      <c r="J144" s="33">
        <v>46327</v>
      </c>
      <c r="K144" s="32">
        <v>0</v>
      </c>
      <c r="L144" s="32"/>
      <c r="M144" s="32">
        <v>0</v>
      </c>
      <c r="N144" s="31"/>
      <c r="O144" s="34">
        <v>46119.725729166668</v>
      </c>
      <c r="P144" s="35" t="s">
        <v>72</v>
      </c>
      <c r="Q144" s="35" t="s">
        <v>79</v>
      </c>
      <c r="R144" s="33">
        <v>46367</v>
      </c>
      <c r="S144" s="30" t="s">
        <v>21</v>
      </c>
      <c r="T144" s="36">
        <v>143</v>
      </c>
      <c r="U144" s="30" t="s">
        <v>74</v>
      </c>
      <c r="V144" s="30" t="s">
        <v>73</v>
      </c>
    </row>
    <row r="145" spans="1:22" ht="30" hidden="1" x14ac:dyDescent="0.25">
      <c r="A145" s="30" t="s">
        <v>176</v>
      </c>
      <c r="B145" s="30" t="s">
        <v>177</v>
      </c>
      <c r="C145" s="30" t="s">
        <v>65</v>
      </c>
      <c r="D145" s="31" t="s">
        <v>178</v>
      </c>
      <c r="E145" s="30" t="s">
        <v>67</v>
      </c>
      <c r="F145" s="30" t="s">
        <v>18</v>
      </c>
      <c r="G145" s="31" t="s">
        <v>179</v>
      </c>
      <c r="H145" s="32">
        <v>0.28000000000000003</v>
      </c>
      <c r="I145" s="31"/>
      <c r="J145" s="33">
        <v>46357</v>
      </c>
      <c r="K145" s="32">
        <v>0</v>
      </c>
      <c r="L145" s="32"/>
      <c r="M145" s="32">
        <v>0</v>
      </c>
      <c r="N145" s="31"/>
      <c r="O145" s="34">
        <v>46104.641504629632</v>
      </c>
      <c r="P145" s="35" t="s">
        <v>72</v>
      </c>
      <c r="Q145" s="35" t="s">
        <v>79</v>
      </c>
      <c r="R145" s="33">
        <v>46397</v>
      </c>
      <c r="S145" s="30" t="s">
        <v>21</v>
      </c>
      <c r="T145" s="36">
        <v>144</v>
      </c>
      <c r="U145" s="30" t="s">
        <v>74</v>
      </c>
      <c r="V145" s="30" t="s">
        <v>73</v>
      </c>
    </row>
    <row r="146" spans="1:22" ht="165" hidden="1" x14ac:dyDescent="0.25">
      <c r="A146" s="30" t="s">
        <v>185</v>
      </c>
      <c r="B146" s="30" t="s">
        <v>177</v>
      </c>
      <c r="C146" s="30" t="s">
        <v>65</v>
      </c>
      <c r="D146" s="31" t="s">
        <v>186</v>
      </c>
      <c r="E146" s="30" t="s">
        <v>67</v>
      </c>
      <c r="F146" s="30" t="s">
        <v>18</v>
      </c>
      <c r="G146" s="31" t="s">
        <v>187</v>
      </c>
      <c r="H146" s="32">
        <v>4.5499999999999999E-2</v>
      </c>
      <c r="I146" s="31"/>
      <c r="J146" s="33">
        <v>46023</v>
      </c>
      <c r="K146" s="32">
        <v>0.05</v>
      </c>
      <c r="L146" s="32">
        <v>2.4038461538461502</v>
      </c>
      <c r="M146" s="32">
        <v>1</v>
      </c>
      <c r="N146" s="31" t="s">
        <v>188</v>
      </c>
      <c r="O146" s="34">
        <v>46220.764999999999</v>
      </c>
      <c r="P146" s="35" t="s">
        <v>109</v>
      </c>
      <c r="Q146" s="35" t="s">
        <v>70</v>
      </c>
      <c r="R146" s="33">
        <v>46063</v>
      </c>
      <c r="S146" s="30" t="s">
        <v>21</v>
      </c>
      <c r="T146" s="36">
        <v>145</v>
      </c>
      <c r="U146" s="30" t="s">
        <v>74</v>
      </c>
      <c r="V146" s="30" t="s">
        <v>73</v>
      </c>
    </row>
    <row r="147" spans="1:22" ht="150" hidden="1" x14ac:dyDescent="0.25">
      <c r="A147" s="30" t="s">
        <v>185</v>
      </c>
      <c r="B147" s="30" t="s">
        <v>177</v>
      </c>
      <c r="C147" s="30" t="s">
        <v>65</v>
      </c>
      <c r="D147" s="31" t="s">
        <v>186</v>
      </c>
      <c r="E147" s="30" t="s">
        <v>67</v>
      </c>
      <c r="F147" s="30" t="s">
        <v>18</v>
      </c>
      <c r="G147" s="31" t="s">
        <v>187</v>
      </c>
      <c r="H147" s="32">
        <v>4.5499999999999999E-2</v>
      </c>
      <c r="I147" s="31"/>
      <c r="J147" s="33">
        <v>46054</v>
      </c>
      <c r="K147" s="32">
        <v>0.05</v>
      </c>
      <c r="L147" s="32">
        <v>1.1990407673860899</v>
      </c>
      <c r="M147" s="32">
        <v>1</v>
      </c>
      <c r="N147" s="31" t="s">
        <v>189</v>
      </c>
      <c r="O147" s="34">
        <v>46220.765138888892</v>
      </c>
      <c r="P147" s="35" t="s">
        <v>109</v>
      </c>
      <c r="Q147" s="35" t="s">
        <v>70</v>
      </c>
      <c r="R147" s="33">
        <v>46094</v>
      </c>
      <c r="S147" s="30" t="s">
        <v>21</v>
      </c>
      <c r="T147" s="36">
        <v>146</v>
      </c>
      <c r="U147" s="30" t="s">
        <v>74</v>
      </c>
      <c r="V147" s="30" t="s">
        <v>73</v>
      </c>
    </row>
    <row r="148" spans="1:22" ht="165" hidden="1" x14ac:dyDescent="0.25">
      <c r="A148" s="30" t="s">
        <v>185</v>
      </c>
      <c r="B148" s="30" t="s">
        <v>177</v>
      </c>
      <c r="C148" s="30" t="s">
        <v>65</v>
      </c>
      <c r="D148" s="31" t="s">
        <v>186</v>
      </c>
      <c r="E148" s="30" t="s">
        <v>67</v>
      </c>
      <c r="F148" s="30" t="s">
        <v>18</v>
      </c>
      <c r="G148" s="31" t="s">
        <v>187</v>
      </c>
      <c r="H148" s="32">
        <v>4.5499999999999999E-2</v>
      </c>
      <c r="I148" s="31"/>
      <c r="J148" s="33">
        <v>46082</v>
      </c>
      <c r="K148" s="32">
        <v>0.05</v>
      </c>
      <c r="L148" s="32">
        <v>0.8</v>
      </c>
      <c r="M148" s="32">
        <v>0.8</v>
      </c>
      <c r="N148" s="31" t="s">
        <v>190</v>
      </c>
      <c r="O148" s="34">
        <v>46220.765266203707</v>
      </c>
      <c r="P148" s="35" t="s">
        <v>109</v>
      </c>
      <c r="Q148" s="35" t="s">
        <v>70</v>
      </c>
      <c r="R148" s="33">
        <v>46122</v>
      </c>
      <c r="S148" s="30" t="s">
        <v>21</v>
      </c>
      <c r="T148" s="36">
        <v>147</v>
      </c>
      <c r="U148" s="30" t="s">
        <v>74</v>
      </c>
      <c r="V148" s="30" t="s">
        <v>73</v>
      </c>
    </row>
    <row r="149" spans="1:22" ht="315" hidden="1" x14ac:dyDescent="0.25">
      <c r="A149" s="30" t="s">
        <v>185</v>
      </c>
      <c r="B149" s="30" t="s">
        <v>177</v>
      </c>
      <c r="C149" s="30" t="s">
        <v>65</v>
      </c>
      <c r="D149" s="31" t="s">
        <v>186</v>
      </c>
      <c r="E149" s="30" t="s">
        <v>67</v>
      </c>
      <c r="F149" s="30" t="s">
        <v>18</v>
      </c>
      <c r="G149" s="31" t="s">
        <v>187</v>
      </c>
      <c r="H149" s="32">
        <v>0.13639999999999999</v>
      </c>
      <c r="I149" s="31"/>
      <c r="J149" s="33">
        <v>46113</v>
      </c>
      <c r="K149" s="32">
        <v>4.5499999999999999E-2</v>
      </c>
      <c r="L149" s="32">
        <v>0.54621848739495804</v>
      </c>
      <c r="M149" s="32">
        <v>0.54621848739495804</v>
      </c>
      <c r="N149" s="31" t="s">
        <v>191</v>
      </c>
      <c r="O149" s="34">
        <v>46220.765648148146</v>
      </c>
      <c r="P149" s="35" t="s">
        <v>109</v>
      </c>
      <c r="Q149" s="35" t="s">
        <v>79</v>
      </c>
      <c r="R149" s="33">
        <v>46153</v>
      </c>
      <c r="S149" s="30" t="s">
        <v>21</v>
      </c>
      <c r="T149" s="36">
        <v>148</v>
      </c>
      <c r="U149" s="30" t="s">
        <v>74</v>
      </c>
      <c r="V149" s="30" t="s">
        <v>73</v>
      </c>
    </row>
    <row r="150" spans="1:22" ht="315" hidden="1" x14ac:dyDescent="0.25">
      <c r="A150" s="30" t="s">
        <v>185</v>
      </c>
      <c r="B150" s="30" t="s">
        <v>177</v>
      </c>
      <c r="C150" s="30" t="s">
        <v>65</v>
      </c>
      <c r="D150" s="31" t="s">
        <v>186</v>
      </c>
      <c r="E150" s="30" t="s">
        <v>67</v>
      </c>
      <c r="F150" s="30" t="s">
        <v>18</v>
      </c>
      <c r="G150" s="31" t="s">
        <v>187</v>
      </c>
      <c r="H150" s="32">
        <v>0.13639999999999999</v>
      </c>
      <c r="I150" s="31"/>
      <c r="J150" s="33">
        <v>46143</v>
      </c>
      <c r="K150" s="32">
        <v>0.18179999999999999</v>
      </c>
      <c r="L150" s="32">
        <v>1.7447216890595001</v>
      </c>
      <c r="M150" s="32">
        <v>1</v>
      </c>
      <c r="N150" s="31" t="s">
        <v>191</v>
      </c>
      <c r="O150" s="34">
        <v>46220.765775462962</v>
      </c>
      <c r="P150" s="35" t="s">
        <v>109</v>
      </c>
      <c r="Q150" s="35" t="s">
        <v>79</v>
      </c>
      <c r="R150" s="33">
        <v>46183</v>
      </c>
      <c r="S150" s="30" t="s">
        <v>21</v>
      </c>
      <c r="T150" s="36">
        <v>149</v>
      </c>
      <c r="U150" s="30" t="s">
        <v>74</v>
      </c>
      <c r="V150" s="30" t="s">
        <v>73</v>
      </c>
    </row>
    <row r="151" spans="1:22" ht="315" hidden="1" x14ac:dyDescent="0.25">
      <c r="A151" s="30" t="s">
        <v>185</v>
      </c>
      <c r="B151" s="30" t="s">
        <v>177</v>
      </c>
      <c r="C151" s="30" t="s">
        <v>65</v>
      </c>
      <c r="D151" s="31" t="s">
        <v>186</v>
      </c>
      <c r="E151" s="30" t="s">
        <v>67</v>
      </c>
      <c r="F151" s="30" t="s">
        <v>18</v>
      </c>
      <c r="G151" s="31" t="s">
        <v>187</v>
      </c>
      <c r="H151" s="32">
        <v>0.13639999999999999</v>
      </c>
      <c r="I151" s="31"/>
      <c r="J151" s="33">
        <v>46174</v>
      </c>
      <c r="K151" s="32">
        <v>0.18179999999999999</v>
      </c>
      <c r="L151" s="32">
        <v>1.3328445747800599</v>
      </c>
      <c r="M151" s="32">
        <v>1</v>
      </c>
      <c r="N151" s="31" t="s">
        <v>191</v>
      </c>
      <c r="O151" s="34">
        <v>46220.733900462961</v>
      </c>
      <c r="P151" s="35" t="s">
        <v>76</v>
      </c>
      <c r="Q151" s="35" t="s">
        <v>79</v>
      </c>
      <c r="R151" s="33">
        <v>46214</v>
      </c>
      <c r="S151" s="30" t="s">
        <v>21</v>
      </c>
      <c r="T151" s="36">
        <v>150</v>
      </c>
      <c r="U151" s="30" t="s">
        <v>74</v>
      </c>
      <c r="V151" s="30" t="s">
        <v>73</v>
      </c>
    </row>
    <row r="152" spans="1:22" ht="45" hidden="1" x14ac:dyDescent="0.25">
      <c r="A152" s="30" t="s">
        <v>185</v>
      </c>
      <c r="B152" s="30" t="s">
        <v>177</v>
      </c>
      <c r="C152" s="30" t="s">
        <v>65</v>
      </c>
      <c r="D152" s="31" t="s">
        <v>186</v>
      </c>
      <c r="E152" s="30" t="s">
        <v>67</v>
      </c>
      <c r="F152" s="30" t="s">
        <v>18</v>
      </c>
      <c r="G152" s="31" t="s">
        <v>187</v>
      </c>
      <c r="H152" s="32">
        <v>0.18179999999999999</v>
      </c>
      <c r="I152" s="31"/>
      <c r="J152" s="33">
        <v>46204</v>
      </c>
      <c r="K152" s="32">
        <v>0</v>
      </c>
      <c r="L152" s="32"/>
      <c r="M152" s="32">
        <v>0</v>
      </c>
      <c r="N152" s="31"/>
      <c r="O152" s="34">
        <v>46220.766064814816</v>
      </c>
      <c r="P152" s="35" t="s">
        <v>109</v>
      </c>
      <c r="Q152" s="35" t="s">
        <v>79</v>
      </c>
      <c r="R152" s="33">
        <v>46244</v>
      </c>
      <c r="S152" s="30" t="s">
        <v>21</v>
      </c>
      <c r="T152" s="36">
        <v>151</v>
      </c>
      <c r="U152" s="30" t="s">
        <v>74</v>
      </c>
      <c r="V152" s="30" t="s">
        <v>73</v>
      </c>
    </row>
    <row r="153" spans="1:22" ht="45" hidden="1" x14ac:dyDescent="0.25">
      <c r="A153" s="30" t="s">
        <v>185</v>
      </c>
      <c r="B153" s="30" t="s">
        <v>177</v>
      </c>
      <c r="C153" s="30" t="s">
        <v>65</v>
      </c>
      <c r="D153" s="31" t="s">
        <v>186</v>
      </c>
      <c r="E153" s="30" t="s">
        <v>67</v>
      </c>
      <c r="F153" s="30" t="s">
        <v>18</v>
      </c>
      <c r="G153" s="31" t="s">
        <v>187</v>
      </c>
      <c r="H153" s="32">
        <v>0.18179999999999999</v>
      </c>
      <c r="I153" s="31"/>
      <c r="J153" s="33">
        <v>46235</v>
      </c>
      <c r="K153" s="32">
        <v>0</v>
      </c>
      <c r="L153" s="32"/>
      <c r="M153" s="32">
        <v>0</v>
      </c>
      <c r="N153" s="31"/>
      <c r="O153" s="34">
        <v>46220.766134259262</v>
      </c>
      <c r="P153" s="35" t="s">
        <v>109</v>
      </c>
      <c r="Q153" s="35" t="s">
        <v>79</v>
      </c>
      <c r="R153" s="33">
        <v>46275</v>
      </c>
      <c r="S153" s="30" t="s">
        <v>21</v>
      </c>
      <c r="T153" s="36">
        <v>152</v>
      </c>
      <c r="U153" s="30" t="s">
        <v>74</v>
      </c>
      <c r="V153" s="30" t="s">
        <v>73</v>
      </c>
    </row>
    <row r="154" spans="1:22" ht="45" hidden="1" x14ac:dyDescent="0.25">
      <c r="A154" s="30" t="s">
        <v>185</v>
      </c>
      <c r="B154" s="30" t="s">
        <v>177</v>
      </c>
      <c r="C154" s="30" t="s">
        <v>65</v>
      </c>
      <c r="D154" s="31" t="s">
        <v>186</v>
      </c>
      <c r="E154" s="30" t="s">
        <v>67</v>
      </c>
      <c r="F154" s="30" t="s">
        <v>18</v>
      </c>
      <c r="G154" s="31" t="s">
        <v>187</v>
      </c>
      <c r="H154" s="32">
        <v>0.18179999999999999</v>
      </c>
      <c r="I154" s="31"/>
      <c r="J154" s="33">
        <v>46266</v>
      </c>
      <c r="K154" s="32">
        <v>0</v>
      </c>
      <c r="L154" s="32"/>
      <c r="M154" s="32">
        <v>0</v>
      </c>
      <c r="N154" s="31"/>
      <c r="O154" s="34">
        <v>46204.669479166667</v>
      </c>
      <c r="P154" s="35" t="s">
        <v>109</v>
      </c>
      <c r="Q154" s="35" t="s">
        <v>79</v>
      </c>
      <c r="R154" s="33">
        <v>46306</v>
      </c>
      <c r="S154" s="30" t="s">
        <v>21</v>
      </c>
      <c r="T154" s="36">
        <v>153</v>
      </c>
      <c r="U154" s="30" t="s">
        <v>74</v>
      </c>
      <c r="V154" s="30" t="s">
        <v>73</v>
      </c>
    </row>
    <row r="155" spans="1:22" ht="45" hidden="1" x14ac:dyDescent="0.25">
      <c r="A155" s="30" t="s">
        <v>185</v>
      </c>
      <c r="B155" s="30" t="s">
        <v>177</v>
      </c>
      <c r="C155" s="30" t="s">
        <v>65</v>
      </c>
      <c r="D155" s="31" t="s">
        <v>186</v>
      </c>
      <c r="E155" s="30" t="s">
        <v>67</v>
      </c>
      <c r="F155" s="30" t="s">
        <v>18</v>
      </c>
      <c r="G155" s="31" t="s">
        <v>187</v>
      </c>
      <c r="H155" s="32">
        <v>0.25</v>
      </c>
      <c r="I155" s="31"/>
      <c r="J155" s="33">
        <v>46296</v>
      </c>
      <c r="K155" s="32">
        <v>0</v>
      </c>
      <c r="L155" s="32"/>
      <c r="M155" s="32">
        <v>0</v>
      </c>
      <c r="N155" s="31"/>
      <c r="O155" s="34">
        <v>46220.766331018516</v>
      </c>
      <c r="P155" s="35" t="s">
        <v>109</v>
      </c>
      <c r="Q155" s="35" t="s">
        <v>79</v>
      </c>
      <c r="R155" s="33">
        <v>46336</v>
      </c>
      <c r="S155" s="30" t="s">
        <v>21</v>
      </c>
      <c r="T155" s="36">
        <v>154</v>
      </c>
      <c r="U155" s="30" t="s">
        <v>74</v>
      </c>
      <c r="V155" s="30" t="s">
        <v>73</v>
      </c>
    </row>
    <row r="156" spans="1:22" ht="45" hidden="1" x14ac:dyDescent="0.25">
      <c r="A156" s="30" t="s">
        <v>185</v>
      </c>
      <c r="B156" s="30" t="s">
        <v>177</v>
      </c>
      <c r="C156" s="30" t="s">
        <v>65</v>
      </c>
      <c r="D156" s="31" t="s">
        <v>186</v>
      </c>
      <c r="E156" s="30" t="s">
        <v>67</v>
      </c>
      <c r="F156" s="30" t="s">
        <v>18</v>
      </c>
      <c r="G156" s="31" t="s">
        <v>187</v>
      </c>
      <c r="H156" s="32">
        <v>0.25</v>
      </c>
      <c r="I156" s="31"/>
      <c r="J156" s="33">
        <v>46327</v>
      </c>
      <c r="K156" s="32">
        <v>0</v>
      </c>
      <c r="L156" s="32"/>
      <c r="M156" s="32">
        <v>0</v>
      </c>
      <c r="N156" s="31"/>
      <c r="O156" s="34">
        <v>46220.766400462962</v>
      </c>
      <c r="P156" s="35" t="s">
        <v>109</v>
      </c>
      <c r="Q156" s="35" t="s">
        <v>79</v>
      </c>
      <c r="R156" s="33">
        <v>46367</v>
      </c>
      <c r="S156" s="30" t="s">
        <v>21</v>
      </c>
      <c r="T156" s="36">
        <v>155</v>
      </c>
      <c r="U156" s="30" t="s">
        <v>74</v>
      </c>
      <c r="V156" s="30" t="s">
        <v>73</v>
      </c>
    </row>
    <row r="157" spans="1:22" ht="45" hidden="1" x14ac:dyDescent="0.25">
      <c r="A157" s="30" t="s">
        <v>185</v>
      </c>
      <c r="B157" s="30" t="s">
        <v>177</v>
      </c>
      <c r="C157" s="30" t="s">
        <v>65</v>
      </c>
      <c r="D157" s="31" t="s">
        <v>186</v>
      </c>
      <c r="E157" s="30" t="s">
        <v>67</v>
      </c>
      <c r="F157" s="30" t="s">
        <v>18</v>
      </c>
      <c r="G157" s="31" t="s">
        <v>187</v>
      </c>
      <c r="H157" s="32">
        <v>0.25</v>
      </c>
      <c r="I157" s="31"/>
      <c r="J157" s="33">
        <v>46357</v>
      </c>
      <c r="K157" s="32">
        <v>0</v>
      </c>
      <c r="L157" s="32"/>
      <c r="M157" s="32">
        <v>0</v>
      </c>
      <c r="N157" s="31"/>
      <c r="O157" s="34">
        <v>46119.808969907404</v>
      </c>
      <c r="P157" s="35" t="s">
        <v>72</v>
      </c>
      <c r="Q157" s="35" t="s">
        <v>79</v>
      </c>
      <c r="R157" s="33">
        <v>46397</v>
      </c>
      <c r="S157" s="30" t="s">
        <v>21</v>
      </c>
      <c r="T157" s="36">
        <v>156</v>
      </c>
      <c r="U157" s="30" t="s">
        <v>74</v>
      </c>
      <c r="V157" s="30" t="s">
        <v>73</v>
      </c>
    </row>
    <row r="158" spans="1:22" ht="90" hidden="1" x14ac:dyDescent="0.25">
      <c r="A158" s="30" t="s">
        <v>192</v>
      </c>
      <c r="B158" s="30" t="s">
        <v>177</v>
      </c>
      <c r="C158" s="30" t="s">
        <v>91</v>
      </c>
      <c r="D158" s="31" t="s">
        <v>193</v>
      </c>
      <c r="E158" s="30" t="s">
        <v>67</v>
      </c>
      <c r="F158" s="30" t="s">
        <v>18</v>
      </c>
      <c r="G158" s="31" t="s">
        <v>194</v>
      </c>
      <c r="H158" s="32">
        <v>0.27700000000000002</v>
      </c>
      <c r="I158" s="31"/>
      <c r="J158" s="33">
        <v>46023</v>
      </c>
      <c r="K158" s="32">
        <v>0.30149999999999999</v>
      </c>
      <c r="L158" s="32">
        <v>1.1100000000000001</v>
      </c>
      <c r="M158" s="32">
        <v>1</v>
      </c>
      <c r="N158" s="31" t="s">
        <v>195</v>
      </c>
      <c r="O158" s="34">
        <v>46220.77138888889</v>
      </c>
      <c r="P158" s="35" t="s">
        <v>109</v>
      </c>
      <c r="Q158" s="35" t="s">
        <v>70</v>
      </c>
      <c r="R158" s="33">
        <v>46063</v>
      </c>
      <c r="S158" s="30" t="s">
        <v>21</v>
      </c>
      <c r="T158" s="36">
        <v>157</v>
      </c>
      <c r="U158" s="30" t="s">
        <v>74</v>
      </c>
      <c r="V158" s="30" t="s">
        <v>73</v>
      </c>
    </row>
    <row r="159" spans="1:22" ht="90" hidden="1" x14ac:dyDescent="0.25">
      <c r="A159" s="30" t="s">
        <v>192</v>
      </c>
      <c r="B159" s="30" t="s">
        <v>177</v>
      </c>
      <c r="C159" s="30" t="s">
        <v>91</v>
      </c>
      <c r="D159" s="31" t="s">
        <v>193</v>
      </c>
      <c r="E159" s="30" t="s">
        <v>67</v>
      </c>
      <c r="F159" s="30" t="s">
        <v>18</v>
      </c>
      <c r="G159" s="31" t="s">
        <v>194</v>
      </c>
      <c r="H159" s="32">
        <v>0.28289999999999998</v>
      </c>
      <c r="I159" s="31"/>
      <c r="J159" s="33">
        <v>46054</v>
      </c>
      <c r="K159" s="32">
        <v>0.30640000000000001</v>
      </c>
      <c r="L159" s="32">
        <v>1.069</v>
      </c>
      <c r="M159" s="32">
        <v>1</v>
      </c>
      <c r="N159" s="31" t="s">
        <v>196</v>
      </c>
      <c r="O159" s="34">
        <v>46220.770925925928</v>
      </c>
      <c r="P159" s="35" t="s">
        <v>109</v>
      </c>
      <c r="Q159" s="35" t="s">
        <v>70</v>
      </c>
      <c r="R159" s="33">
        <v>46094</v>
      </c>
      <c r="S159" s="30" t="s">
        <v>21</v>
      </c>
      <c r="T159" s="36">
        <v>158</v>
      </c>
      <c r="U159" s="30" t="s">
        <v>74</v>
      </c>
      <c r="V159" s="30" t="s">
        <v>73</v>
      </c>
    </row>
    <row r="160" spans="1:22" ht="90" hidden="1" x14ac:dyDescent="0.25">
      <c r="A160" s="30" t="s">
        <v>192</v>
      </c>
      <c r="B160" s="30" t="s">
        <v>177</v>
      </c>
      <c r="C160" s="30" t="s">
        <v>91</v>
      </c>
      <c r="D160" s="31" t="s">
        <v>193</v>
      </c>
      <c r="E160" s="30" t="s">
        <v>67</v>
      </c>
      <c r="F160" s="30" t="s">
        <v>18</v>
      </c>
      <c r="G160" s="31" t="s">
        <v>194</v>
      </c>
      <c r="H160" s="32">
        <v>0.28050000000000003</v>
      </c>
      <c r="I160" s="31"/>
      <c r="J160" s="33">
        <v>46082</v>
      </c>
      <c r="K160" s="32">
        <v>0.29670000000000002</v>
      </c>
      <c r="L160" s="32">
        <v>1.0577000000000001</v>
      </c>
      <c r="M160" s="32">
        <v>1</v>
      </c>
      <c r="N160" s="31" t="s">
        <v>197</v>
      </c>
      <c r="O160" s="34">
        <v>46220.772511574076</v>
      </c>
      <c r="P160" s="35" t="s">
        <v>109</v>
      </c>
      <c r="Q160" s="35" t="s">
        <v>79</v>
      </c>
      <c r="R160" s="33">
        <v>46122</v>
      </c>
      <c r="S160" s="30" t="s">
        <v>21</v>
      </c>
      <c r="T160" s="36">
        <v>159</v>
      </c>
      <c r="U160" s="30" t="s">
        <v>74</v>
      </c>
      <c r="V160" s="30" t="s">
        <v>73</v>
      </c>
    </row>
    <row r="161" spans="1:22" ht="60" hidden="1" x14ac:dyDescent="0.25">
      <c r="A161" s="30" t="s">
        <v>192</v>
      </c>
      <c r="B161" s="30" t="s">
        <v>177</v>
      </c>
      <c r="C161" s="30" t="s">
        <v>91</v>
      </c>
      <c r="D161" s="31" t="s">
        <v>193</v>
      </c>
      <c r="E161" s="30" t="s">
        <v>67</v>
      </c>
      <c r="F161" s="30" t="s">
        <v>18</v>
      </c>
      <c r="G161" s="31" t="s">
        <v>194</v>
      </c>
      <c r="H161" s="32">
        <v>0.28029999999999999</v>
      </c>
      <c r="I161" s="31"/>
      <c r="J161" s="33">
        <v>46113</v>
      </c>
      <c r="K161" s="32">
        <v>0.29420000000000002</v>
      </c>
      <c r="L161" s="32">
        <v>1.0494000000000001</v>
      </c>
      <c r="M161" s="32">
        <v>1</v>
      </c>
      <c r="N161" s="31" t="s">
        <v>198</v>
      </c>
      <c r="O161" s="34">
        <v>46220.773206018515</v>
      </c>
      <c r="P161" s="35" t="s">
        <v>109</v>
      </c>
      <c r="Q161" s="35" t="s">
        <v>79</v>
      </c>
      <c r="R161" s="33">
        <v>46153</v>
      </c>
      <c r="S161" s="30" t="s">
        <v>21</v>
      </c>
      <c r="T161" s="36">
        <v>160</v>
      </c>
      <c r="U161" s="30" t="s">
        <v>74</v>
      </c>
      <c r="V161" s="30" t="s">
        <v>73</v>
      </c>
    </row>
    <row r="162" spans="1:22" ht="60" hidden="1" x14ac:dyDescent="0.25">
      <c r="A162" s="30" t="s">
        <v>192</v>
      </c>
      <c r="B162" s="30" t="s">
        <v>177</v>
      </c>
      <c r="C162" s="30" t="s">
        <v>91</v>
      </c>
      <c r="D162" s="31" t="s">
        <v>193</v>
      </c>
      <c r="E162" s="30" t="s">
        <v>67</v>
      </c>
      <c r="F162" s="30" t="s">
        <v>18</v>
      </c>
      <c r="G162" s="31" t="s">
        <v>194</v>
      </c>
      <c r="H162" s="32">
        <v>0.27979999999999999</v>
      </c>
      <c r="I162" s="31"/>
      <c r="J162" s="33">
        <v>46143</v>
      </c>
      <c r="K162" s="32">
        <v>0.29220000000000002</v>
      </c>
      <c r="L162" s="32">
        <v>1.0445</v>
      </c>
      <c r="M162" s="32">
        <v>1</v>
      </c>
      <c r="N162" s="31" t="s">
        <v>198</v>
      </c>
      <c r="O162" s="34">
        <v>46220.773715277777</v>
      </c>
      <c r="P162" s="35" t="s">
        <v>109</v>
      </c>
      <c r="Q162" s="35" t="s">
        <v>79</v>
      </c>
      <c r="R162" s="33">
        <v>46183</v>
      </c>
      <c r="S162" s="30" t="s">
        <v>21</v>
      </c>
      <c r="T162" s="36">
        <v>161</v>
      </c>
      <c r="U162" s="30" t="s">
        <v>74</v>
      </c>
      <c r="V162" s="30" t="s">
        <v>73</v>
      </c>
    </row>
    <row r="163" spans="1:22" ht="75" hidden="1" x14ac:dyDescent="0.25">
      <c r="A163" s="30" t="s">
        <v>192</v>
      </c>
      <c r="B163" s="30" t="s">
        <v>177</v>
      </c>
      <c r="C163" s="30" t="s">
        <v>91</v>
      </c>
      <c r="D163" s="31" t="s">
        <v>193</v>
      </c>
      <c r="E163" s="30" t="s">
        <v>67</v>
      </c>
      <c r="F163" s="30" t="s">
        <v>18</v>
      </c>
      <c r="G163" s="31" t="s">
        <v>194</v>
      </c>
      <c r="H163" s="32">
        <v>0.27979999999999999</v>
      </c>
      <c r="I163" s="31"/>
      <c r="J163" s="33">
        <v>46174</v>
      </c>
      <c r="K163" s="32">
        <v>0.29020000000000001</v>
      </c>
      <c r="L163" s="32">
        <v>103.72</v>
      </c>
      <c r="M163" s="32">
        <v>1</v>
      </c>
      <c r="N163" s="31" t="s">
        <v>199</v>
      </c>
      <c r="O163" s="34">
        <v>46220.774189814816</v>
      </c>
      <c r="P163" s="35" t="s">
        <v>109</v>
      </c>
      <c r="Q163" s="35" t="s">
        <v>79</v>
      </c>
      <c r="R163" s="33">
        <v>46214</v>
      </c>
      <c r="S163" s="30" t="s">
        <v>21</v>
      </c>
      <c r="T163" s="36">
        <v>162</v>
      </c>
      <c r="U163" s="30" t="s">
        <v>74</v>
      </c>
      <c r="V163" s="30" t="s">
        <v>73</v>
      </c>
    </row>
    <row r="164" spans="1:22" ht="30" hidden="1" x14ac:dyDescent="0.25">
      <c r="A164" s="30" t="s">
        <v>192</v>
      </c>
      <c r="B164" s="30" t="s">
        <v>177</v>
      </c>
      <c r="C164" s="30" t="s">
        <v>91</v>
      </c>
      <c r="D164" s="31" t="s">
        <v>193</v>
      </c>
      <c r="E164" s="30" t="s">
        <v>67</v>
      </c>
      <c r="F164" s="30" t="s">
        <v>18</v>
      </c>
      <c r="G164" s="31" t="s">
        <v>194</v>
      </c>
      <c r="H164" s="32">
        <v>0.28149999999999997</v>
      </c>
      <c r="I164" s="31"/>
      <c r="J164" s="33">
        <v>46204</v>
      </c>
      <c r="K164" s="32">
        <v>0</v>
      </c>
      <c r="L164" s="32"/>
      <c r="M164" s="32">
        <v>0</v>
      </c>
      <c r="N164" s="31"/>
      <c r="O164" s="34">
        <v>46220.774467592593</v>
      </c>
      <c r="P164" s="35" t="s">
        <v>109</v>
      </c>
      <c r="Q164" s="35" t="s">
        <v>79</v>
      </c>
      <c r="R164" s="33">
        <v>46244</v>
      </c>
      <c r="S164" s="30" t="s">
        <v>21</v>
      </c>
      <c r="T164" s="36">
        <v>163</v>
      </c>
      <c r="U164" s="30" t="s">
        <v>74</v>
      </c>
      <c r="V164" s="30" t="s">
        <v>73</v>
      </c>
    </row>
    <row r="165" spans="1:22" ht="30" hidden="1" x14ac:dyDescent="0.25">
      <c r="A165" s="30" t="s">
        <v>192</v>
      </c>
      <c r="B165" s="30" t="s">
        <v>177</v>
      </c>
      <c r="C165" s="30" t="s">
        <v>91</v>
      </c>
      <c r="D165" s="31" t="s">
        <v>193</v>
      </c>
      <c r="E165" s="30" t="s">
        <v>67</v>
      </c>
      <c r="F165" s="30" t="s">
        <v>18</v>
      </c>
      <c r="G165" s="31" t="s">
        <v>194</v>
      </c>
      <c r="H165" s="32">
        <v>0.28270000000000001</v>
      </c>
      <c r="I165" s="31"/>
      <c r="J165" s="33">
        <v>46235</v>
      </c>
      <c r="K165" s="32">
        <v>0</v>
      </c>
      <c r="L165" s="32"/>
      <c r="M165" s="32">
        <v>0</v>
      </c>
      <c r="N165" s="31"/>
      <c r="O165" s="34">
        <v>46220.774652777778</v>
      </c>
      <c r="P165" s="35" t="s">
        <v>109</v>
      </c>
      <c r="Q165" s="35" t="s">
        <v>79</v>
      </c>
      <c r="R165" s="33">
        <v>46275</v>
      </c>
      <c r="S165" s="30" t="s">
        <v>21</v>
      </c>
      <c r="T165" s="36">
        <v>164</v>
      </c>
      <c r="U165" s="30" t="s">
        <v>74</v>
      </c>
      <c r="V165" s="30" t="s">
        <v>73</v>
      </c>
    </row>
    <row r="166" spans="1:22" ht="30" hidden="1" x14ac:dyDescent="0.25">
      <c r="A166" s="30" t="s">
        <v>192</v>
      </c>
      <c r="B166" s="30" t="s">
        <v>177</v>
      </c>
      <c r="C166" s="30" t="s">
        <v>91</v>
      </c>
      <c r="D166" s="31" t="s">
        <v>193</v>
      </c>
      <c r="E166" s="30" t="s">
        <v>67</v>
      </c>
      <c r="F166" s="30" t="s">
        <v>18</v>
      </c>
      <c r="G166" s="31" t="s">
        <v>194</v>
      </c>
      <c r="H166" s="32">
        <v>0.28370000000000001</v>
      </c>
      <c r="I166" s="31"/>
      <c r="J166" s="33">
        <v>46266</v>
      </c>
      <c r="K166" s="32">
        <v>0</v>
      </c>
      <c r="L166" s="32"/>
      <c r="M166" s="32">
        <v>0</v>
      </c>
      <c r="N166" s="31"/>
      <c r="O166" s="34">
        <v>46220.774826388886</v>
      </c>
      <c r="P166" s="35" t="s">
        <v>109</v>
      </c>
      <c r="Q166" s="35" t="s">
        <v>79</v>
      </c>
      <c r="R166" s="33">
        <v>46306</v>
      </c>
      <c r="S166" s="30" t="s">
        <v>21</v>
      </c>
      <c r="T166" s="36">
        <v>165</v>
      </c>
      <c r="U166" s="30" t="s">
        <v>74</v>
      </c>
      <c r="V166" s="30" t="s">
        <v>73</v>
      </c>
    </row>
    <row r="167" spans="1:22" ht="30" hidden="1" x14ac:dyDescent="0.25">
      <c r="A167" s="30" t="s">
        <v>192</v>
      </c>
      <c r="B167" s="30" t="s">
        <v>177</v>
      </c>
      <c r="C167" s="30" t="s">
        <v>91</v>
      </c>
      <c r="D167" s="31" t="s">
        <v>193</v>
      </c>
      <c r="E167" s="30" t="s">
        <v>67</v>
      </c>
      <c r="F167" s="30" t="s">
        <v>18</v>
      </c>
      <c r="G167" s="31" t="s">
        <v>194</v>
      </c>
      <c r="H167" s="32">
        <v>0.28589999999999999</v>
      </c>
      <c r="I167" s="31"/>
      <c r="J167" s="33">
        <v>46296</v>
      </c>
      <c r="K167" s="32">
        <v>0</v>
      </c>
      <c r="L167" s="32"/>
      <c r="M167" s="32">
        <v>0</v>
      </c>
      <c r="N167" s="31"/>
      <c r="O167" s="34">
        <v>46220.774988425925</v>
      </c>
      <c r="P167" s="35" t="s">
        <v>109</v>
      </c>
      <c r="Q167" s="35" t="s">
        <v>79</v>
      </c>
      <c r="R167" s="33">
        <v>46336</v>
      </c>
      <c r="S167" s="30" t="s">
        <v>21</v>
      </c>
      <c r="T167" s="36">
        <v>166</v>
      </c>
      <c r="U167" s="30" t="s">
        <v>74</v>
      </c>
      <c r="V167" s="30" t="s">
        <v>73</v>
      </c>
    </row>
    <row r="168" spans="1:22" ht="30" hidden="1" x14ac:dyDescent="0.25">
      <c r="A168" s="30" t="s">
        <v>192</v>
      </c>
      <c r="B168" s="30" t="s">
        <v>177</v>
      </c>
      <c r="C168" s="30" t="s">
        <v>91</v>
      </c>
      <c r="D168" s="31" t="s">
        <v>193</v>
      </c>
      <c r="E168" s="30" t="s">
        <v>67</v>
      </c>
      <c r="F168" s="30" t="s">
        <v>18</v>
      </c>
      <c r="G168" s="31" t="s">
        <v>194</v>
      </c>
      <c r="H168" s="32">
        <v>0.2878</v>
      </c>
      <c r="I168" s="31"/>
      <c r="J168" s="33">
        <v>46327</v>
      </c>
      <c r="K168" s="32">
        <v>0</v>
      </c>
      <c r="L168" s="32"/>
      <c r="M168" s="32">
        <v>0</v>
      </c>
      <c r="N168" s="31"/>
      <c r="O168" s="34">
        <v>46220.775150462963</v>
      </c>
      <c r="P168" s="35" t="s">
        <v>109</v>
      </c>
      <c r="Q168" s="35" t="s">
        <v>79</v>
      </c>
      <c r="R168" s="33">
        <v>46367</v>
      </c>
      <c r="S168" s="30" t="s">
        <v>21</v>
      </c>
      <c r="T168" s="36">
        <v>167</v>
      </c>
      <c r="U168" s="30" t="s">
        <v>74</v>
      </c>
      <c r="V168" s="30" t="s">
        <v>73</v>
      </c>
    </row>
    <row r="169" spans="1:22" ht="30" hidden="1" x14ac:dyDescent="0.25">
      <c r="A169" s="30" t="s">
        <v>192</v>
      </c>
      <c r="B169" s="30" t="s">
        <v>177</v>
      </c>
      <c r="C169" s="30" t="s">
        <v>91</v>
      </c>
      <c r="D169" s="31" t="s">
        <v>193</v>
      </c>
      <c r="E169" s="30" t="s">
        <v>67</v>
      </c>
      <c r="F169" s="30" t="s">
        <v>18</v>
      </c>
      <c r="G169" s="31" t="s">
        <v>194</v>
      </c>
      <c r="H169" s="32">
        <v>0.29110000000000003</v>
      </c>
      <c r="I169" s="31"/>
      <c r="J169" s="33">
        <v>46357</v>
      </c>
      <c r="K169" s="32">
        <v>0</v>
      </c>
      <c r="L169" s="32"/>
      <c r="M169" s="32">
        <v>0</v>
      </c>
      <c r="N169" s="31"/>
      <c r="O169" s="34">
        <v>46220.775347222225</v>
      </c>
      <c r="P169" s="35" t="s">
        <v>109</v>
      </c>
      <c r="Q169" s="35" t="s">
        <v>79</v>
      </c>
      <c r="R169" s="33">
        <v>46397</v>
      </c>
      <c r="S169" s="30" t="s">
        <v>21</v>
      </c>
      <c r="T169" s="36">
        <v>168</v>
      </c>
      <c r="U169" s="30" t="s">
        <v>74</v>
      </c>
      <c r="V169" s="30" t="s">
        <v>73</v>
      </c>
    </row>
    <row r="170" spans="1:22" ht="165" hidden="1" x14ac:dyDescent="0.25">
      <c r="A170" s="30" t="s">
        <v>200</v>
      </c>
      <c r="B170" s="30" t="s">
        <v>177</v>
      </c>
      <c r="C170" s="30" t="s">
        <v>91</v>
      </c>
      <c r="D170" s="31" t="s">
        <v>201</v>
      </c>
      <c r="E170" s="30" t="s">
        <v>149</v>
      </c>
      <c r="F170" s="30" t="s">
        <v>18</v>
      </c>
      <c r="G170" s="31" t="s">
        <v>202</v>
      </c>
      <c r="H170" s="32">
        <v>0.63</v>
      </c>
      <c r="I170" s="31"/>
      <c r="J170" s="33">
        <v>46023</v>
      </c>
      <c r="K170" s="32">
        <v>0.67</v>
      </c>
      <c r="L170" s="32">
        <v>1.0900000000000001</v>
      </c>
      <c r="M170" s="32">
        <v>1</v>
      </c>
      <c r="N170" s="31" t="s">
        <v>203</v>
      </c>
      <c r="O170" s="34">
        <v>46220.781921296293</v>
      </c>
      <c r="P170" s="35" t="s">
        <v>109</v>
      </c>
      <c r="Q170" s="35" t="s">
        <v>70</v>
      </c>
      <c r="R170" s="33">
        <v>46063</v>
      </c>
      <c r="S170" s="30" t="s">
        <v>95</v>
      </c>
      <c r="T170" s="36">
        <v>169</v>
      </c>
      <c r="U170" s="30" t="s">
        <v>74</v>
      </c>
      <c r="V170" s="30" t="s">
        <v>73</v>
      </c>
    </row>
    <row r="171" spans="1:22" ht="120" hidden="1" x14ac:dyDescent="0.25">
      <c r="A171" s="30" t="s">
        <v>200</v>
      </c>
      <c r="B171" s="30" t="s">
        <v>177</v>
      </c>
      <c r="C171" s="30" t="s">
        <v>91</v>
      </c>
      <c r="D171" s="31" t="s">
        <v>201</v>
      </c>
      <c r="E171" s="30" t="s">
        <v>149</v>
      </c>
      <c r="F171" s="30" t="s">
        <v>18</v>
      </c>
      <c r="G171" s="31" t="s">
        <v>202</v>
      </c>
      <c r="H171" s="32">
        <v>0.61</v>
      </c>
      <c r="I171" s="31"/>
      <c r="J171" s="33">
        <v>46054</v>
      </c>
      <c r="K171" s="32">
        <v>0.67159999999999997</v>
      </c>
      <c r="L171" s="32">
        <v>1.1093</v>
      </c>
      <c r="M171" s="32">
        <v>1</v>
      </c>
      <c r="N171" s="31" t="s">
        <v>204</v>
      </c>
      <c r="O171" s="34">
        <v>46220.781736111108</v>
      </c>
      <c r="P171" s="35" t="s">
        <v>109</v>
      </c>
      <c r="Q171" s="35" t="s">
        <v>70</v>
      </c>
      <c r="R171" s="33">
        <v>46094</v>
      </c>
      <c r="S171" s="30" t="s">
        <v>95</v>
      </c>
      <c r="T171" s="36">
        <v>170</v>
      </c>
      <c r="U171" s="30" t="s">
        <v>74</v>
      </c>
      <c r="V171" s="30" t="s">
        <v>73</v>
      </c>
    </row>
    <row r="172" spans="1:22" ht="105" hidden="1" x14ac:dyDescent="0.25">
      <c r="A172" s="30" t="s">
        <v>200</v>
      </c>
      <c r="B172" s="30" t="s">
        <v>177</v>
      </c>
      <c r="C172" s="30" t="s">
        <v>91</v>
      </c>
      <c r="D172" s="31" t="s">
        <v>201</v>
      </c>
      <c r="E172" s="30" t="s">
        <v>149</v>
      </c>
      <c r="F172" s="30" t="s">
        <v>18</v>
      </c>
      <c r="G172" s="31" t="s">
        <v>202</v>
      </c>
      <c r="H172" s="32">
        <v>0.61</v>
      </c>
      <c r="I172" s="31"/>
      <c r="J172" s="33">
        <v>46082</v>
      </c>
      <c r="K172" s="32">
        <v>0.66839999999999999</v>
      </c>
      <c r="L172" s="32">
        <v>1.1009</v>
      </c>
      <c r="M172" s="32">
        <v>1</v>
      </c>
      <c r="N172" s="31" t="s">
        <v>205</v>
      </c>
      <c r="O172" s="34">
        <v>46220.782650462963</v>
      </c>
      <c r="P172" s="35" t="s">
        <v>109</v>
      </c>
      <c r="Q172" s="35" t="s">
        <v>70</v>
      </c>
      <c r="R172" s="33">
        <v>46122</v>
      </c>
      <c r="S172" s="30" t="s">
        <v>95</v>
      </c>
      <c r="T172" s="36">
        <v>171</v>
      </c>
      <c r="U172" s="30" t="s">
        <v>74</v>
      </c>
      <c r="V172" s="30" t="s">
        <v>73</v>
      </c>
    </row>
    <row r="173" spans="1:22" ht="165" hidden="1" x14ac:dyDescent="0.25">
      <c r="A173" s="30" t="s">
        <v>200</v>
      </c>
      <c r="B173" s="30" t="s">
        <v>177</v>
      </c>
      <c r="C173" s="30" t="s">
        <v>91</v>
      </c>
      <c r="D173" s="31" t="s">
        <v>201</v>
      </c>
      <c r="E173" s="30" t="s">
        <v>149</v>
      </c>
      <c r="F173" s="30" t="s">
        <v>18</v>
      </c>
      <c r="G173" s="31" t="s">
        <v>202</v>
      </c>
      <c r="H173" s="32">
        <v>0.61</v>
      </c>
      <c r="I173" s="31"/>
      <c r="J173" s="33">
        <v>46113</v>
      </c>
      <c r="K173" s="32">
        <v>0.66720000000000002</v>
      </c>
      <c r="L173" s="32">
        <v>1.0963000000000001</v>
      </c>
      <c r="M173" s="32">
        <v>1</v>
      </c>
      <c r="N173" s="31" t="s">
        <v>206</v>
      </c>
      <c r="O173" s="34">
        <v>46220.78334490741</v>
      </c>
      <c r="P173" s="35" t="s">
        <v>109</v>
      </c>
      <c r="Q173" s="35" t="s">
        <v>79</v>
      </c>
      <c r="R173" s="33">
        <v>46153</v>
      </c>
      <c r="S173" s="30" t="s">
        <v>95</v>
      </c>
      <c r="T173" s="36">
        <v>172</v>
      </c>
      <c r="U173" s="30" t="s">
        <v>74</v>
      </c>
      <c r="V173" s="30" t="s">
        <v>73</v>
      </c>
    </row>
    <row r="174" spans="1:22" ht="165" hidden="1" x14ac:dyDescent="0.25">
      <c r="A174" s="30" t="s">
        <v>200</v>
      </c>
      <c r="B174" s="30" t="s">
        <v>177</v>
      </c>
      <c r="C174" s="30" t="s">
        <v>91</v>
      </c>
      <c r="D174" s="31" t="s">
        <v>201</v>
      </c>
      <c r="E174" s="30" t="s">
        <v>149</v>
      </c>
      <c r="F174" s="30" t="s">
        <v>18</v>
      </c>
      <c r="G174" s="31" t="s">
        <v>202</v>
      </c>
      <c r="H174" s="32">
        <v>0.61</v>
      </c>
      <c r="I174" s="31"/>
      <c r="J174" s="33">
        <v>46143</v>
      </c>
      <c r="K174" s="32">
        <v>0.6694</v>
      </c>
      <c r="L174" s="32">
        <v>1.0948</v>
      </c>
      <c r="M174" s="32">
        <v>1</v>
      </c>
      <c r="N174" s="31" t="s">
        <v>207</v>
      </c>
      <c r="O174" s="34">
        <v>46220.78392361111</v>
      </c>
      <c r="P174" s="35" t="s">
        <v>109</v>
      </c>
      <c r="Q174" s="35" t="s">
        <v>79</v>
      </c>
      <c r="R174" s="33">
        <v>46183</v>
      </c>
      <c r="S174" s="30" t="s">
        <v>95</v>
      </c>
      <c r="T174" s="36">
        <v>173</v>
      </c>
      <c r="U174" s="30" t="s">
        <v>74</v>
      </c>
      <c r="V174" s="30" t="s">
        <v>73</v>
      </c>
    </row>
    <row r="175" spans="1:22" ht="150" hidden="1" x14ac:dyDescent="0.25">
      <c r="A175" s="30" t="s">
        <v>200</v>
      </c>
      <c r="B175" s="30" t="s">
        <v>177</v>
      </c>
      <c r="C175" s="30" t="s">
        <v>91</v>
      </c>
      <c r="D175" s="31" t="s">
        <v>201</v>
      </c>
      <c r="E175" s="30" t="s">
        <v>149</v>
      </c>
      <c r="F175" s="30" t="s">
        <v>18</v>
      </c>
      <c r="G175" s="31" t="s">
        <v>202</v>
      </c>
      <c r="H175" s="32">
        <v>0.62</v>
      </c>
      <c r="I175" s="31"/>
      <c r="J175" s="33">
        <v>46174</v>
      </c>
      <c r="K175" s="32">
        <v>0.67130000000000001</v>
      </c>
      <c r="L175" s="32">
        <v>1.0913999999999999</v>
      </c>
      <c r="M175" s="32">
        <v>1</v>
      </c>
      <c r="N175" s="31" t="s">
        <v>208</v>
      </c>
      <c r="O175" s="34">
        <v>46220.784560185188</v>
      </c>
      <c r="P175" s="35" t="s">
        <v>109</v>
      </c>
      <c r="Q175" s="35" t="s">
        <v>79</v>
      </c>
      <c r="R175" s="33">
        <v>46214</v>
      </c>
      <c r="S175" s="30" t="s">
        <v>95</v>
      </c>
      <c r="T175" s="36">
        <v>174</v>
      </c>
      <c r="U175" s="30" t="s">
        <v>74</v>
      </c>
      <c r="V175" s="30" t="s">
        <v>73</v>
      </c>
    </row>
    <row r="176" spans="1:22" ht="45" hidden="1" x14ac:dyDescent="0.25">
      <c r="A176" s="30" t="s">
        <v>200</v>
      </c>
      <c r="B176" s="30" t="s">
        <v>177</v>
      </c>
      <c r="C176" s="30" t="s">
        <v>91</v>
      </c>
      <c r="D176" s="31" t="s">
        <v>201</v>
      </c>
      <c r="E176" s="30" t="s">
        <v>149</v>
      </c>
      <c r="F176" s="30" t="s">
        <v>18</v>
      </c>
      <c r="G176" s="31" t="s">
        <v>202</v>
      </c>
      <c r="H176" s="32">
        <v>0.62</v>
      </c>
      <c r="I176" s="31"/>
      <c r="J176" s="33">
        <v>46204</v>
      </c>
      <c r="K176" s="32">
        <v>0</v>
      </c>
      <c r="L176" s="32"/>
      <c r="M176" s="32">
        <v>0</v>
      </c>
      <c r="N176" s="31"/>
      <c r="O176" s="34">
        <v>46220.784814814811</v>
      </c>
      <c r="P176" s="35" t="s">
        <v>109</v>
      </c>
      <c r="Q176" s="35" t="s">
        <v>79</v>
      </c>
      <c r="R176" s="33">
        <v>46244</v>
      </c>
      <c r="S176" s="30" t="s">
        <v>95</v>
      </c>
      <c r="T176" s="36">
        <v>175</v>
      </c>
      <c r="U176" s="30" t="s">
        <v>74</v>
      </c>
      <c r="V176" s="30" t="s">
        <v>73</v>
      </c>
    </row>
    <row r="177" spans="1:22" ht="45" hidden="1" x14ac:dyDescent="0.25">
      <c r="A177" s="30" t="s">
        <v>200</v>
      </c>
      <c r="B177" s="30" t="s">
        <v>177</v>
      </c>
      <c r="C177" s="30" t="s">
        <v>91</v>
      </c>
      <c r="D177" s="31" t="s">
        <v>201</v>
      </c>
      <c r="E177" s="30" t="s">
        <v>149</v>
      </c>
      <c r="F177" s="30" t="s">
        <v>18</v>
      </c>
      <c r="G177" s="31" t="s">
        <v>202</v>
      </c>
      <c r="H177" s="32">
        <v>0.63</v>
      </c>
      <c r="I177" s="31"/>
      <c r="J177" s="33">
        <v>46235</v>
      </c>
      <c r="K177" s="32">
        <v>0</v>
      </c>
      <c r="L177" s="32"/>
      <c r="M177" s="32">
        <v>0</v>
      </c>
      <c r="N177" s="31"/>
      <c r="O177" s="34">
        <v>46220.785011574073</v>
      </c>
      <c r="P177" s="35" t="s">
        <v>109</v>
      </c>
      <c r="Q177" s="35" t="s">
        <v>79</v>
      </c>
      <c r="R177" s="33">
        <v>46275</v>
      </c>
      <c r="S177" s="30" t="s">
        <v>95</v>
      </c>
      <c r="T177" s="36">
        <v>176</v>
      </c>
      <c r="U177" s="30" t="s">
        <v>74</v>
      </c>
      <c r="V177" s="30" t="s">
        <v>73</v>
      </c>
    </row>
    <row r="178" spans="1:22" ht="45" hidden="1" x14ac:dyDescent="0.25">
      <c r="A178" s="30" t="s">
        <v>200</v>
      </c>
      <c r="B178" s="30" t="s">
        <v>177</v>
      </c>
      <c r="C178" s="30" t="s">
        <v>91</v>
      </c>
      <c r="D178" s="31" t="s">
        <v>201</v>
      </c>
      <c r="E178" s="30" t="s">
        <v>149</v>
      </c>
      <c r="F178" s="30" t="s">
        <v>18</v>
      </c>
      <c r="G178" s="31" t="s">
        <v>202</v>
      </c>
      <c r="H178" s="32">
        <v>0.63</v>
      </c>
      <c r="I178" s="31"/>
      <c r="J178" s="33">
        <v>46266</v>
      </c>
      <c r="K178" s="32">
        <v>0</v>
      </c>
      <c r="L178" s="32"/>
      <c r="M178" s="32">
        <v>0</v>
      </c>
      <c r="N178" s="31"/>
      <c r="O178" s="34">
        <v>46220.785173611112</v>
      </c>
      <c r="P178" s="35" t="s">
        <v>109</v>
      </c>
      <c r="Q178" s="35" t="s">
        <v>79</v>
      </c>
      <c r="R178" s="33">
        <v>46306</v>
      </c>
      <c r="S178" s="30" t="s">
        <v>95</v>
      </c>
      <c r="T178" s="36">
        <v>177</v>
      </c>
      <c r="U178" s="30" t="s">
        <v>74</v>
      </c>
      <c r="V178" s="30" t="s">
        <v>73</v>
      </c>
    </row>
    <row r="179" spans="1:22" ht="45" hidden="1" x14ac:dyDescent="0.25">
      <c r="A179" s="30" t="s">
        <v>200</v>
      </c>
      <c r="B179" s="30" t="s">
        <v>177</v>
      </c>
      <c r="C179" s="30" t="s">
        <v>91</v>
      </c>
      <c r="D179" s="31" t="s">
        <v>201</v>
      </c>
      <c r="E179" s="30" t="s">
        <v>149</v>
      </c>
      <c r="F179" s="30" t="s">
        <v>18</v>
      </c>
      <c r="G179" s="31" t="s">
        <v>202</v>
      </c>
      <c r="H179" s="32">
        <v>0.63</v>
      </c>
      <c r="I179" s="31"/>
      <c r="J179" s="33">
        <v>46296</v>
      </c>
      <c r="K179" s="32">
        <v>0</v>
      </c>
      <c r="L179" s="32"/>
      <c r="M179" s="32">
        <v>0</v>
      </c>
      <c r="N179" s="31"/>
      <c r="O179" s="34">
        <v>46220.78528935185</v>
      </c>
      <c r="P179" s="35" t="s">
        <v>109</v>
      </c>
      <c r="Q179" s="35" t="s">
        <v>79</v>
      </c>
      <c r="R179" s="33">
        <v>46336</v>
      </c>
      <c r="S179" s="30" t="s">
        <v>95</v>
      </c>
      <c r="T179" s="36">
        <v>178</v>
      </c>
      <c r="U179" s="30" t="s">
        <v>74</v>
      </c>
      <c r="V179" s="30" t="s">
        <v>73</v>
      </c>
    </row>
    <row r="180" spans="1:22" ht="45" hidden="1" x14ac:dyDescent="0.25">
      <c r="A180" s="30" t="s">
        <v>200</v>
      </c>
      <c r="B180" s="30" t="s">
        <v>177</v>
      </c>
      <c r="C180" s="30" t="s">
        <v>91</v>
      </c>
      <c r="D180" s="31" t="s">
        <v>201</v>
      </c>
      <c r="E180" s="30" t="s">
        <v>149</v>
      </c>
      <c r="F180" s="30" t="s">
        <v>18</v>
      </c>
      <c r="G180" s="31" t="s">
        <v>202</v>
      </c>
      <c r="H180" s="32">
        <v>0.64</v>
      </c>
      <c r="I180" s="31"/>
      <c r="J180" s="33">
        <v>46327</v>
      </c>
      <c r="K180" s="32">
        <v>0</v>
      </c>
      <c r="L180" s="32"/>
      <c r="M180" s="32">
        <v>0</v>
      </c>
      <c r="N180" s="31"/>
      <c r="O180" s="34">
        <v>46220.785474537035</v>
      </c>
      <c r="P180" s="35" t="s">
        <v>109</v>
      </c>
      <c r="Q180" s="35" t="s">
        <v>79</v>
      </c>
      <c r="R180" s="33">
        <v>46367</v>
      </c>
      <c r="S180" s="30" t="s">
        <v>95</v>
      </c>
      <c r="T180" s="36">
        <v>179</v>
      </c>
      <c r="U180" s="30" t="s">
        <v>74</v>
      </c>
      <c r="V180" s="30" t="s">
        <v>73</v>
      </c>
    </row>
    <row r="181" spans="1:22" ht="45" hidden="1" x14ac:dyDescent="0.25">
      <c r="A181" s="30" t="s">
        <v>200</v>
      </c>
      <c r="B181" s="30" t="s">
        <v>177</v>
      </c>
      <c r="C181" s="30" t="s">
        <v>91</v>
      </c>
      <c r="D181" s="31" t="s">
        <v>201</v>
      </c>
      <c r="E181" s="30" t="s">
        <v>149</v>
      </c>
      <c r="F181" s="30" t="s">
        <v>18</v>
      </c>
      <c r="G181" s="31" t="s">
        <v>202</v>
      </c>
      <c r="H181" s="32">
        <v>0.65</v>
      </c>
      <c r="I181" s="31"/>
      <c r="J181" s="33">
        <v>46357</v>
      </c>
      <c r="K181" s="32">
        <v>0</v>
      </c>
      <c r="L181" s="32"/>
      <c r="M181" s="32">
        <v>0</v>
      </c>
      <c r="N181" s="31"/>
      <c r="O181" s="34">
        <v>46220.785555555558</v>
      </c>
      <c r="P181" s="35" t="s">
        <v>109</v>
      </c>
      <c r="Q181" s="35" t="s">
        <v>79</v>
      </c>
      <c r="R181" s="33">
        <v>46397</v>
      </c>
      <c r="S181" s="30" t="s">
        <v>95</v>
      </c>
      <c r="T181" s="36">
        <v>180</v>
      </c>
      <c r="U181" s="30" t="s">
        <v>74</v>
      </c>
      <c r="V181" s="30" t="s">
        <v>73</v>
      </c>
    </row>
    <row r="182" spans="1:22" ht="45" hidden="1" x14ac:dyDescent="0.25">
      <c r="A182" s="30" t="s">
        <v>209</v>
      </c>
      <c r="B182" s="30" t="s">
        <v>177</v>
      </c>
      <c r="C182" s="30" t="s">
        <v>122</v>
      </c>
      <c r="D182" s="31" t="s">
        <v>209</v>
      </c>
      <c r="E182" s="30" t="s">
        <v>67</v>
      </c>
      <c r="F182" s="30" t="s">
        <v>18</v>
      </c>
      <c r="G182" s="31" t="s">
        <v>210</v>
      </c>
      <c r="H182" s="32">
        <v>0</v>
      </c>
      <c r="I182" s="31"/>
      <c r="J182" s="33">
        <v>46023</v>
      </c>
      <c r="K182" s="32">
        <v>0</v>
      </c>
      <c r="L182" s="32">
        <v>0</v>
      </c>
      <c r="M182" s="32">
        <v>0</v>
      </c>
      <c r="N182" s="31" t="s">
        <v>211</v>
      </c>
      <c r="O182" s="34">
        <v>46129.697962962964</v>
      </c>
      <c r="P182" s="35" t="s">
        <v>87</v>
      </c>
      <c r="Q182" s="35" t="s">
        <v>70</v>
      </c>
      <c r="R182" s="33">
        <v>46063</v>
      </c>
      <c r="S182" s="30" t="s">
        <v>85</v>
      </c>
      <c r="T182" s="36">
        <v>181</v>
      </c>
      <c r="U182" s="30" t="s">
        <v>74</v>
      </c>
      <c r="V182" s="30" t="s">
        <v>73</v>
      </c>
    </row>
    <row r="183" spans="1:22" ht="45" hidden="1" x14ac:dyDescent="0.25">
      <c r="A183" s="30" t="s">
        <v>209</v>
      </c>
      <c r="B183" s="30" t="s">
        <v>177</v>
      </c>
      <c r="C183" s="30" t="s">
        <v>122</v>
      </c>
      <c r="D183" s="31" t="s">
        <v>209</v>
      </c>
      <c r="E183" s="30" t="s">
        <v>67</v>
      </c>
      <c r="F183" s="30" t="s">
        <v>18</v>
      </c>
      <c r="G183" s="31" t="s">
        <v>210</v>
      </c>
      <c r="H183" s="32">
        <v>0</v>
      </c>
      <c r="I183" s="31"/>
      <c r="J183" s="33">
        <v>46054</v>
      </c>
      <c r="K183" s="32">
        <v>0</v>
      </c>
      <c r="L183" s="32">
        <v>0</v>
      </c>
      <c r="M183" s="32">
        <v>0</v>
      </c>
      <c r="N183" s="31" t="s">
        <v>212</v>
      </c>
      <c r="O183" s="34">
        <v>46129.697870370372</v>
      </c>
      <c r="P183" s="35" t="s">
        <v>87</v>
      </c>
      <c r="Q183" s="35" t="s">
        <v>70</v>
      </c>
      <c r="R183" s="33">
        <v>46094</v>
      </c>
      <c r="S183" s="30" t="s">
        <v>85</v>
      </c>
      <c r="T183" s="36">
        <v>182</v>
      </c>
      <c r="U183" s="30" t="s">
        <v>74</v>
      </c>
      <c r="V183" s="30" t="s">
        <v>73</v>
      </c>
    </row>
    <row r="184" spans="1:22" ht="105" hidden="1" x14ac:dyDescent="0.25">
      <c r="A184" s="30" t="s">
        <v>209</v>
      </c>
      <c r="B184" s="30" t="s">
        <v>177</v>
      </c>
      <c r="C184" s="30" t="s">
        <v>122</v>
      </c>
      <c r="D184" s="31" t="s">
        <v>209</v>
      </c>
      <c r="E184" s="30" t="s">
        <v>67</v>
      </c>
      <c r="F184" s="30" t="s">
        <v>18</v>
      </c>
      <c r="G184" s="31" t="s">
        <v>210</v>
      </c>
      <c r="H184" s="32">
        <v>0.35</v>
      </c>
      <c r="I184" s="31"/>
      <c r="J184" s="33">
        <v>46082</v>
      </c>
      <c r="K184" s="32">
        <v>0</v>
      </c>
      <c r="L184" s="32">
        <v>0</v>
      </c>
      <c r="M184" s="32">
        <v>0</v>
      </c>
      <c r="N184" s="31" t="s">
        <v>213</v>
      </c>
      <c r="O184" s="34">
        <v>46204.673194444447</v>
      </c>
      <c r="P184" s="35" t="s">
        <v>109</v>
      </c>
      <c r="Q184" s="35" t="s">
        <v>70</v>
      </c>
      <c r="R184" s="33">
        <v>46122</v>
      </c>
      <c r="S184" s="30" t="s">
        <v>85</v>
      </c>
      <c r="T184" s="36">
        <v>183</v>
      </c>
      <c r="U184" s="30" t="s">
        <v>74</v>
      </c>
      <c r="V184" s="30" t="s">
        <v>73</v>
      </c>
    </row>
    <row r="185" spans="1:22" ht="45" hidden="1" x14ac:dyDescent="0.25">
      <c r="A185" s="30" t="s">
        <v>209</v>
      </c>
      <c r="B185" s="30" t="s">
        <v>177</v>
      </c>
      <c r="C185" s="30" t="s">
        <v>122</v>
      </c>
      <c r="D185" s="31" t="s">
        <v>209</v>
      </c>
      <c r="E185" s="30" t="s">
        <v>67</v>
      </c>
      <c r="F185" s="30" t="s">
        <v>18</v>
      </c>
      <c r="G185" s="31" t="s">
        <v>210</v>
      </c>
      <c r="H185" s="32">
        <v>0</v>
      </c>
      <c r="I185" s="31"/>
      <c r="J185" s="33">
        <v>46113</v>
      </c>
      <c r="K185" s="32">
        <v>0.7</v>
      </c>
      <c r="L185" s="32">
        <v>0</v>
      </c>
      <c r="M185" s="32">
        <v>0</v>
      </c>
      <c r="N185" s="31" t="s">
        <v>214</v>
      </c>
      <c r="O185" s="34">
        <v>46220.739212962966</v>
      </c>
      <c r="P185" s="35" t="s">
        <v>76</v>
      </c>
      <c r="Q185" s="35" t="s">
        <v>79</v>
      </c>
      <c r="R185" s="33">
        <v>46153</v>
      </c>
      <c r="S185" s="30" t="s">
        <v>85</v>
      </c>
      <c r="T185" s="36">
        <v>184</v>
      </c>
      <c r="U185" s="30" t="s">
        <v>74</v>
      </c>
      <c r="V185" s="30" t="s">
        <v>73</v>
      </c>
    </row>
    <row r="186" spans="1:22" ht="315" hidden="1" x14ac:dyDescent="0.25">
      <c r="A186" s="30" t="s">
        <v>209</v>
      </c>
      <c r="B186" s="30" t="s">
        <v>177</v>
      </c>
      <c r="C186" s="30" t="s">
        <v>122</v>
      </c>
      <c r="D186" s="31" t="s">
        <v>209</v>
      </c>
      <c r="E186" s="30" t="s">
        <v>67</v>
      </c>
      <c r="F186" s="30" t="s">
        <v>18</v>
      </c>
      <c r="G186" s="31" t="s">
        <v>210</v>
      </c>
      <c r="H186" s="32">
        <v>0</v>
      </c>
      <c r="I186" s="31"/>
      <c r="J186" s="33">
        <v>46143</v>
      </c>
      <c r="K186" s="32">
        <v>0.7</v>
      </c>
      <c r="L186" s="32">
        <v>0</v>
      </c>
      <c r="M186" s="32">
        <v>0</v>
      </c>
      <c r="N186" s="31" t="s">
        <v>215</v>
      </c>
      <c r="O186" s="34">
        <v>46220.74009259259</v>
      </c>
      <c r="P186" s="35" t="s">
        <v>76</v>
      </c>
      <c r="Q186" s="35" t="s">
        <v>79</v>
      </c>
      <c r="R186" s="33">
        <v>46183</v>
      </c>
      <c r="S186" s="30" t="s">
        <v>85</v>
      </c>
      <c r="T186" s="36">
        <v>185</v>
      </c>
      <c r="U186" s="30" t="s">
        <v>74</v>
      </c>
      <c r="V186" s="30" t="s">
        <v>73</v>
      </c>
    </row>
    <row r="187" spans="1:22" ht="315" hidden="1" x14ac:dyDescent="0.25">
      <c r="A187" s="30" t="s">
        <v>209</v>
      </c>
      <c r="B187" s="30" t="s">
        <v>177</v>
      </c>
      <c r="C187" s="30" t="s">
        <v>122</v>
      </c>
      <c r="D187" s="31" t="s">
        <v>209</v>
      </c>
      <c r="E187" s="30" t="s">
        <v>67</v>
      </c>
      <c r="F187" s="30" t="s">
        <v>18</v>
      </c>
      <c r="G187" s="31" t="s">
        <v>210</v>
      </c>
      <c r="H187" s="32">
        <v>0.7</v>
      </c>
      <c r="I187" s="31"/>
      <c r="J187" s="33">
        <v>46174</v>
      </c>
      <c r="K187" s="32">
        <v>0.7</v>
      </c>
      <c r="L187" s="32">
        <v>1</v>
      </c>
      <c r="M187" s="32">
        <v>1</v>
      </c>
      <c r="N187" s="31" t="s">
        <v>215</v>
      </c>
      <c r="O187" s="34">
        <v>46220.740567129629</v>
      </c>
      <c r="P187" s="35" t="s">
        <v>76</v>
      </c>
      <c r="Q187" s="35" t="s">
        <v>79</v>
      </c>
      <c r="R187" s="33">
        <v>46214</v>
      </c>
      <c r="S187" s="30" t="s">
        <v>85</v>
      </c>
      <c r="T187" s="36">
        <v>186</v>
      </c>
      <c r="U187" s="30" t="s">
        <v>74</v>
      </c>
      <c r="V187" s="30" t="s">
        <v>73</v>
      </c>
    </row>
    <row r="188" spans="1:22" ht="45" hidden="1" x14ac:dyDescent="0.25">
      <c r="A188" s="30" t="s">
        <v>209</v>
      </c>
      <c r="B188" s="30" t="s">
        <v>177</v>
      </c>
      <c r="C188" s="30" t="s">
        <v>122</v>
      </c>
      <c r="D188" s="31" t="s">
        <v>209</v>
      </c>
      <c r="E188" s="30" t="s">
        <v>67</v>
      </c>
      <c r="F188" s="30" t="s">
        <v>18</v>
      </c>
      <c r="G188" s="31" t="s">
        <v>210</v>
      </c>
      <c r="H188" s="32">
        <v>0</v>
      </c>
      <c r="I188" s="31"/>
      <c r="J188" s="33">
        <v>46204</v>
      </c>
      <c r="K188" s="32">
        <v>0</v>
      </c>
      <c r="L188" s="32"/>
      <c r="M188" s="32">
        <v>0</v>
      </c>
      <c r="N188" s="31"/>
      <c r="O188" s="34">
        <v>46100.749814814815</v>
      </c>
      <c r="P188" s="35" t="s">
        <v>72</v>
      </c>
      <c r="Q188" s="35" t="s">
        <v>79</v>
      </c>
      <c r="R188" s="33">
        <v>46244</v>
      </c>
      <c r="S188" s="30" t="s">
        <v>85</v>
      </c>
      <c r="T188" s="36">
        <v>187</v>
      </c>
      <c r="U188" s="30" t="s">
        <v>74</v>
      </c>
      <c r="V188" s="30" t="s">
        <v>73</v>
      </c>
    </row>
    <row r="189" spans="1:22" ht="45" hidden="1" x14ac:dyDescent="0.25">
      <c r="A189" s="30" t="s">
        <v>209</v>
      </c>
      <c r="B189" s="30" t="s">
        <v>177</v>
      </c>
      <c r="C189" s="30" t="s">
        <v>122</v>
      </c>
      <c r="D189" s="31" t="s">
        <v>209</v>
      </c>
      <c r="E189" s="30" t="s">
        <v>67</v>
      </c>
      <c r="F189" s="30" t="s">
        <v>18</v>
      </c>
      <c r="G189" s="31" t="s">
        <v>210</v>
      </c>
      <c r="H189" s="32">
        <v>0</v>
      </c>
      <c r="I189" s="31"/>
      <c r="J189" s="33">
        <v>46235</v>
      </c>
      <c r="K189" s="32">
        <v>0</v>
      </c>
      <c r="L189" s="32"/>
      <c r="M189" s="32">
        <v>0</v>
      </c>
      <c r="N189" s="31"/>
      <c r="O189" s="34">
        <v>46100.749814814815</v>
      </c>
      <c r="P189" s="35" t="s">
        <v>72</v>
      </c>
      <c r="Q189" s="35" t="s">
        <v>79</v>
      </c>
      <c r="R189" s="33">
        <v>46275</v>
      </c>
      <c r="S189" s="30" t="s">
        <v>85</v>
      </c>
      <c r="T189" s="36">
        <v>188</v>
      </c>
      <c r="U189" s="30" t="s">
        <v>74</v>
      </c>
      <c r="V189" s="30" t="s">
        <v>73</v>
      </c>
    </row>
    <row r="190" spans="1:22" ht="45" hidden="1" x14ac:dyDescent="0.25">
      <c r="A190" s="30" t="s">
        <v>209</v>
      </c>
      <c r="B190" s="30" t="s">
        <v>177</v>
      </c>
      <c r="C190" s="30" t="s">
        <v>122</v>
      </c>
      <c r="D190" s="31" t="s">
        <v>209</v>
      </c>
      <c r="E190" s="30" t="s">
        <v>67</v>
      </c>
      <c r="F190" s="30" t="s">
        <v>18</v>
      </c>
      <c r="G190" s="31" t="s">
        <v>210</v>
      </c>
      <c r="H190" s="32">
        <v>0.85</v>
      </c>
      <c r="I190" s="31"/>
      <c r="J190" s="33">
        <v>46266</v>
      </c>
      <c r="K190" s="32">
        <v>0</v>
      </c>
      <c r="L190" s="32"/>
      <c r="M190" s="32">
        <v>0</v>
      </c>
      <c r="N190" s="31"/>
      <c r="O190" s="34">
        <v>46204.674976851849</v>
      </c>
      <c r="P190" s="35" t="s">
        <v>109</v>
      </c>
      <c r="Q190" s="35" t="s">
        <v>79</v>
      </c>
      <c r="R190" s="33">
        <v>46306</v>
      </c>
      <c r="S190" s="30" t="s">
        <v>85</v>
      </c>
      <c r="T190" s="36">
        <v>189</v>
      </c>
      <c r="U190" s="30" t="s">
        <v>74</v>
      </c>
      <c r="V190" s="30" t="s">
        <v>73</v>
      </c>
    </row>
    <row r="191" spans="1:22" ht="45" hidden="1" x14ac:dyDescent="0.25">
      <c r="A191" s="30" t="s">
        <v>209</v>
      </c>
      <c r="B191" s="30" t="s">
        <v>177</v>
      </c>
      <c r="C191" s="30" t="s">
        <v>122</v>
      </c>
      <c r="D191" s="31" t="s">
        <v>209</v>
      </c>
      <c r="E191" s="30" t="s">
        <v>67</v>
      </c>
      <c r="F191" s="30" t="s">
        <v>18</v>
      </c>
      <c r="G191" s="31" t="s">
        <v>210</v>
      </c>
      <c r="H191" s="32">
        <v>0</v>
      </c>
      <c r="I191" s="31"/>
      <c r="J191" s="33">
        <v>46296</v>
      </c>
      <c r="K191" s="32">
        <v>0</v>
      </c>
      <c r="L191" s="32"/>
      <c r="M191" s="32">
        <v>0</v>
      </c>
      <c r="N191" s="31"/>
      <c r="O191" s="34">
        <v>46100.749814814815</v>
      </c>
      <c r="P191" s="35" t="s">
        <v>72</v>
      </c>
      <c r="Q191" s="35" t="s">
        <v>79</v>
      </c>
      <c r="R191" s="33">
        <v>46336</v>
      </c>
      <c r="S191" s="30" t="s">
        <v>85</v>
      </c>
      <c r="T191" s="36">
        <v>190</v>
      </c>
      <c r="U191" s="30" t="s">
        <v>74</v>
      </c>
      <c r="V191" s="30" t="s">
        <v>73</v>
      </c>
    </row>
    <row r="192" spans="1:22" ht="45" hidden="1" x14ac:dyDescent="0.25">
      <c r="A192" s="30" t="s">
        <v>209</v>
      </c>
      <c r="B192" s="30" t="s">
        <v>177</v>
      </c>
      <c r="C192" s="30" t="s">
        <v>122</v>
      </c>
      <c r="D192" s="31" t="s">
        <v>209</v>
      </c>
      <c r="E192" s="30" t="s">
        <v>67</v>
      </c>
      <c r="F192" s="30" t="s">
        <v>18</v>
      </c>
      <c r="G192" s="31" t="s">
        <v>210</v>
      </c>
      <c r="H192" s="32">
        <v>0</v>
      </c>
      <c r="I192" s="31"/>
      <c r="J192" s="33">
        <v>46327</v>
      </c>
      <c r="K192" s="32">
        <v>0</v>
      </c>
      <c r="L192" s="32"/>
      <c r="M192" s="32">
        <v>0</v>
      </c>
      <c r="N192" s="31"/>
      <c r="O192" s="34">
        <v>46100.749826388892</v>
      </c>
      <c r="P192" s="35" t="s">
        <v>72</v>
      </c>
      <c r="Q192" s="35" t="s">
        <v>79</v>
      </c>
      <c r="R192" s="33">
        <v>46367</v>
      </c>
      <c r="S192" s="30" t="s">
        <v>85</v>
      </c>
      <c r="T192" s="36">
        <v>191</v>
      </c>
      <c r="U192" s="30" t="s">
        <v>74</v>
      </c>
      <c r="V192" s="30" t="s">
        <v>73</v>
      </c>
    </row>
    <row r="193" spans="1:22" ht="45" hidden="1" x14ac:dyDescent="0.25">
      <c r="A193" s="30" t="s">
        <v>209</v>
      </c>
      <c r="B193" s="30" t="s">
        <v>177</v>
      </c>
      <c r="C193" s="30" t="s">
        <v>122</v>
      </c>
      <c r="D193" s="31" t="s">
        <v>209</v>
      </c>
      <c r="E193" s="30" t="s">
        <v>67</v>
      </c>
      <c r="F193" s="30" t="s">
        <v>18</v>
      </c>
      <c r="G193" s="31" t="s">
        <v>210</v>
      </c>
      <c r="H193" s="32">
        <v>1</v>
      </c>
      <c r="I193" s="31"/>
      <c r="J193" s="33">
        <v>46357</v>
      </c>
      <c r="K193" s="32">
        <v>0</v>
      </c>
      <c r="L193" s="32"/>
      <c r="M193" s="32">
        <v>0</v>
      </c>
      <c r="N193" s="31"/>
      <c r="O193" s="34">
        <v>46100.749826388892</v>
      </c>
      <c r="P193" s="35" t="s">
        <v>72</v>
      </c>
      <c r="Q193" s="35" t="s">
        <v>79</v>
      </c>
      <c r="R193" s="33">
        <v>46397</v>
      </c>
      <c r="S193" s="30" t="s">
        <v>85</v>
      </c>
      <c r="T193" s="36">
        <v>192</v>
      </c>
      <c r="U193" s="30" t="s">
        <v>74</v>
      </c>
      <c r="V193" s="30" t="s">
        <v>73</v>
      </c>
    </row>
    <row r="194" spans="1:22" ht="45" hidden="1" x14ac:dyDescent="0.25">
      <c r="A194" s="30" t="s">
        <v>216</v>
      </c>
      <c r="B194" s="30" t="s">
        <v>177</v>
      </c>
      <c r="C194" s="30" t="s">
        <v>130</v>
      </c>
      <c r="D194" s="31" t="s">
        <v>217</v>
      </c>
      <c r="E194" s="30" t="s">
        <v>100</v>
      </c>
      <c r="F194" s="30" t="s">
        <v>19</v>
      </c>
      <c r="G194" s="31" t="s">
        <v>218</v>
      </c>
      <c r="H194" s="32">
        <v>0.42499999999999999</v>
      </c>
      <c r="I194" s="31"/>
      <c r="J194" s="33">
        <v>46023</v>
      </c>
      <c r="K194" s="32">
        <v>0.30299999999999999</v>
      </c>
      <c r="L194" s="32">
        <v>0.71294117647058797</v>
      </c>
      <c r="M194" s="32">
        <v>0.71294117647058797</v>
      </c>
      <c r="N194" s="31" t="s">
        <v>219</v>
      </c>
      <c r="O194" s="34">
        <v>46128.804791666669</v>
      </c>
      <c r="P194" s="35" t="s">
        <v>72</v>
      </c>
      <c r="Q194" s="35" t="s">
        <v>70</v>
      </c>
      <c r="R194" s="33">
        <v>46063</v>
      </c>
      <c r="S194" s="30" t="s">
        <v>21</v>
      </c>
      <c r="T194" s="36">
        <v>193</v>
      </c>
      <c r="U194" s="30" t="s">
        <v>74</v>
      </c>
      <c r="V194" s="30" t="s">
        <v>73</v>
      </c>
    </row>
    <row r="195" spans="1:22" ht="45" hidden="1" x14ac:dyDescent="0.25">
      <c r="A195" s="30" t="s">
        <v>216</v>
      </c>
      <c r="B195" s="30" t="s">
        <v>177</v>
      </c>
      <c r="C195" s="30" t="s">
        <v>130</v>
      </c>
      <c r="D195" s="31" t="s">
        <v>217</v>
      </c>
      <c r="E195" s="30" t="s">
        <v>100</v>
      </c>
      <c r="F195" s="30" t="s">
        <v>19</v>
      </c>
      <c r="G195" s="31" t="s">
        <v>218</v>
      </c>
      <c r="H195" s="32">
        <v>0.42499999999999999</v>
      </c>
      <c r="I195" s="31"/>
      <c r="J195" s="33">
        <v>46054</v>
      </c>
      <c r="K195" s="32">
        <v>0.35709999999999997</v>
      </c>
      <c r="L195" s="32">
        <v>0.84023529411764697</v>
      </c>
      <c r="M195" s="32">
        <v>0.84023529411764697</v>
      </c>
      <c r="N195" s="31" t="s">
        <v>220</v>
      </c>
      <c r="O195" s="34">
        <v>46128.805520833332</v>
      </c>
      <c r="P195" s="35" t="s">
        <v>72</v>
      </c>
      <c r="Q195" s="35" t="s">
        <v>70</v>
      </c>
      <c r="R195" s="33">
        <v>46094</v>
      </c>
      <c r="S195" s="30" t="s">
        <v>21</v>
      </c>
      <c r="T195" s="36">
        <v>194</v>
      </c>
      <c r="U195" s="30" t="s">
        <v>74</v>
      </c>
      <c r="V195" s="30" t="s">
        <v>73</v>
      </c>
    </row>
    <row r="196" spans="1:22" ht="45" hidden="1" x14ac:dyDescent="0.25">
      <c r="A196" s="30" t="s">
        <v>216</v>
      </c>
      <c r="B196" s="30" t="s">
        <v>177</v>
      </c>
      <c r="C196" s="30" t="s">
        <v>130</v>
      </c>
      <c r="D196" s="31" t="s">
        <v>217</v>
      </c>
      <c r="E196" s="30" t="s">
        <v>100</v>
      </c>
      <c r="F196" s="30" t="s">
        <v>19</v>
      </c>
      <c r="G196" s="31" t="s">
        <v>218</v>
      </c>
      <c r="H196" s="32">
        <v>0.42499999999999999</v>
      </c>
      <c r="I196" s="31"/>
      <c r="J196" s="33">
        <v>46082</v>
      </c>
      <c r="K196" s="32">
        <v>0.372</v>
      </c>
      <c r="L196" s="32">
        <v>0.87529999999999997</v>
      </c>
      <c r="M196" s="32">
        <v>0.87529999999999997</v>
      </c>
      <c r="N196" s="31" t="s">
        <v>221</v>
      </c>
      <c r="O196" s="34">
        <v>46203.788287037038</v>
      </c>
      <c r="P196" s="35" t="s">
        <v>103</v>
      </c>
      <c r="Q196" s="35" t="s">
        <v>70</v>
      </c>
      <c r="R196" s="33">
        <v>46122</v>
      </c>
      <c r="S196" s="30" t="s">
        <v>21</v>
      </c>
      <c r="T196" s="36">
        <v>195</v>
      </c>
      <c r="U196" s="30" t="s">
        <v>74</v>
      </c>
      <c r="V196" s="30" t="s">
        <v>73</v>
      </c>
    </row>
    <row r="197" spans="1:22" ht="45" hidden="1" x14ac:dyDescent="0.25">
      <c r="A197" s="30" t="s">
        <v>216</v>
      </c>
      <c r="B197" s="30" t="s">
        <v>177</v>
      </c>
      <c r="C197" s="30" t="s">
        <v>130</v>
      </c>
      <c r="D197" s="31" t="s">
        <v>217</v>
      </c>
      <c r="E197" s="30" t="s">
        <v>100</v>
      </c>
      <c r="F197" s="30" t="s">
        <v>19</v>
      </c>
      <c r="G197" s="31" t="s">
        <v>218</v>
      </c>
      <c r="H197" s="32">
        <v>0.42499999999999999</v>
      </c>
      <c r="I197" s="31"/>
      <c r="J197" s="33">
        <v>46113</v>
      </c>
      <c r="K197" s="32">
        <v>0.37209999999999999</v>
      </c>
      <c r="L197" s="32">
        <v>0.87549999999999994</v>
      </c>
      <c r="M197" s="32">
        <v>0.87549999999999994</v>
      </c>
      <c r="N197" s="31" t="s">
        <v>222</v>
      </c>
      <c r="O197" s="34">
        <v>46203.686898148146</v>
      </c>
      <c r="P197" s="35" t="s">
        <v>103</v>
      </c>
      <c r="Q197" s="35" t="s">
        <v>70</v>
      </c>
      <c r="R197" s="33">
        <v>46153</v>
      </c>
      <c r="S197" s="30" t="s">
        <v>21</v>
      </c>
      <c r="T197" s="36">
        <v>196</v>
      </c>
      <c r="U197" s="30" t="s">
        <v>74</v>
      </c>
      <c r="V197" s="30" t="s">
        <v>73</v>
      </c>
    </row>
    <row r="198" spans="1:22" ht="45" hidden="1" x14ac:dyDescent="0.25">
      <c r="A198" s="30" t="s">
        <v>216</v>
      </c>
      <c r="B198" s="30" t="s">
        <v>177</v>
      </c>
      <c r="C198" s="30" t="s">
        <v>130</v>
      </c>
      <c r="D198" s="31" t="s">
        <v>217</v>
      </c>
      <c r="E198" s="30" t="s">
        <v>100</v>
      </c>
      <c r="F198" s="30" t="s">
        <v>19</v>
      </c>
      <c r="G198" s="31" t="s">
        <v>218</v>
      </c>
      <c r="H198" s="32">
        <v>0.42499999999999999</v>
      </c>
      <c r="I198" s="31"/>
      <c r="J198" s="33">
        <v>46143</v>
      </c>
      <c r="K198" s="32">
        <v>0.35560000000000003</v>
      </c>
      <c r="L198" s="32">
        <v>0.8367</v>
      </c>
      <c r="M198" s="32">
        <v>0.8367</v>
      </c>
      <c r="N198" s="31" t="s">
        <v>223</v>
      </c>
      <c r="O198" s="34">
        <v>46203.690925925926</v>
      </c>
      <c r="P198" s="35" t="s">
        <v>103</v>
      </c>
      <c r="Q198" s="35" t="s">
        <v>70</v>
      </c>
      <c r="R198" s="33">
        <v>46183</v>
      </c>
      <c r="S198" s="30" t="s">
        <v>21</v>
      </c>
      <c r="T198" s="36">
        <v>197</v>
      </c>
      <c r="U198" s="30" t="s">
        <v>74</v>
      </c>
      <c r="V198" s="30" t="s">
        <v>73</v>
      </c>
    </row>
    <row r="199" spans="1:22" ht="75" hidden="1" x14ac:dyDescent="0.25">
      <c r="A199" s="30" t="s">
        <v>216</v>
      </c>
      <c r="B199" s="30" t="s">
        <v>177</v>
      </c>
      <c r="C199" s="30" t="s">
        <v>130</v>
      </c>
      <c r="D199" s="31" t="s">
        <v>217</v>
      </c>
      <c r="E199" s="30" t="s">
        <v>100</v>
      </c>
      <c r="F199" s="30" t="s">
        <v>19</v>
      </c>
      <c r="G199" s="31" t="s">
        <v>218</v>
      </c>
      <c r="H199" s="32">
        <v>0.42499999999999999</v>
      </c>
      <c r="I199" s="31"/>
      <c r="J199" s="33">
        <v>46174</v>
      </c>
      <c r="K199" s="32">
        <v>0.41299999999999998</v>
      </c>
      <c r="L199" s="32">
        <v>0.9718</v>
      </c>
      <c r="M199" s="32">
        <v>0.9718</v>
      </c>
      <c r="N199" s="31" t="s">
        <v>224</v>
      </c>
      <c r="O199" s="34">
        <v>46219.806145833332</v>
      </c>
      <c r="P199" s="35" t="s">
        <v>103</v>
      </c>
      <c r="Q199" s="35" t="s">
        <v>70</v>
      </c>
      <c r="R199" s="33">
        <v>46214</v>
      </c>
      <c r="S199" s="30" t="s">
        <v>21</v>
      </c>
      <c r="T199" s="36">
        <v>198</v>
      </c>
      <c r="U199" s="30" t="s">
        <v>74</v>
      </c>
      <c r="V199" s="30" t="s">
        <v>73</v>
      </c>
    </row>
    <row r="200" spans="1:22" ht="45" hidden="1" x14ac:dyDescent="0.25">
      <c r="A200" s="30" t="s">
        <v>216</v>
      </c>
      <c r="B200" s="30" t="s">
        <v>177</v>
      </c>
      <c r="C200" s="30" t="s">
        <v>130</v>
      </c>
      <c r="D200" s="31" t="s">
        <v>217</v>
      </c>
      <c r="E200" s="30" t="s">
        <v>100</v>
      </c>
      <c r="F200" s="30" t="s">
        <v>19</v>
      </c>
      <c r="G200" s="31" t="s">
        <v>218</v>
      </c>
      <c r="H200" s="32">
        <v>0.42499999999999999</v>
      </c>
      <c r="I200" s="31"/>
      <c r="J200" s="33">
        <v>46204</v>
      </c>
      <c r="K200" s="32">
        <v>0.41299999999999998</v>
      </c>
      <c r="L200" s="32">
        <v>0.97176470588235297</v>
      </c>
      <c r="M200" s="32">
        <v>0.97176470588235297</v>
      </c>
      <c r="N200" s="31" t="s">
        <v>225</v>
      </c>
      <c r="O200" s="34">
        <v>46237.707465277781</v>
      </c>
      <c r="P200" s="35" t="s">
        <v>226</v>
      </c>
      <c r="Q200" s="35" t="s">
        <v>79</v>
      </c>
      <c r="R200" s="33">
        <v>46244</v>
      </c>
      <c r="S200" s="30" t="s">
        <v>21</v>
      </c>
      <c r="T200" s="36">
        <v>199</v>
      </c>
      <c r="U200" s="30" t="s">
        <v>74</v>
      </c>
      <c r="V200" s="30" t="s">
        <v>73</v>
      </c>
    </row>
    <row r="201" spans="1:22" ht="45" hidden="1" x14ac:dyDescent="0.25">
      <c r="A201" s="30" t="s">
        <v>216</v>
      </c>
      <c r="B201" s="30" t="s">
        <v>177</v>
      </c>
      <c r="C201" s="30" t="s">
        <v>130</v>
      </c>
      <c r="D201" s="31" t="s">
        <v>217</v>
      </c>
      <c r="E201" s="30" t="s">
        <v>100</v>
      </c>
      <c r="F201" s="30" t="s">
        <v>19</v>
      </c>
      <c r="G201" s="31" t="s">
        <v>218</v>
      </c>
      <c r="H201" s="32">
        <v>0.42499999999999999</v>
      </c>
      <c r="I201" s="31"/>
      <c r="J201" s="33">
        <v>46235</v>
      </c>
      <c r="K201" s="32">
        <v>0</v>
      </c>
      <c r="L201" s="32"/>
      <c r="M201" s="32">
        <v>0</v>
      </c>
      <c r="N201" s="31"/>
      <c r="O201" s="34">
        <v>46100.749837962961</v>
      </c>
      <c r="P201" s="35" t="s">
        <v>72</v>
      </c>
      <c r="Q201" s="35" t="s">
        <v>79</v>
      </c>
      <c r="R201" s="33">
        <v>46275</v>
      </c>
      <c r="S201" s="30" t="s">
        <v>21</v>
      </c>
      <c r="T201" s="36">
        <v>200</v>
      </c>
      <c r="U201" s="30" t="s">
        <v>74</v>
      </c>
      <c r="V201" s="30" t="s">
        <v>73</v>
      </c>
    </row>
    <row r="202" spans="1:22" ht="45" hidden="1" x14ac:dyDescent="0.25">
      <c r="A202" s="30" t="s">
        <v>216</v>
      </c>
      <c r="B202" s="30" t="s">
        <v>177</v>
      </c>
      <c r="C202" s="30" t="s">
        <v>130</v>
      </c>
      <c r="D202" s="31" t="s">
        <v>217</v>
      </c>
      <c r="E202" s="30" t="s">
        <v>100</v>
      </c>
      <c r="F202" s="30" t="s">
        <v>19</v>
      </c>
      <c r="G202" s="31" t="s">
        <v>218</v>
      </c>
      <c r="H202" s="32">
        <v>0.42499999999999999</v>
      </c>
      <c r="I202" s="31"/>
      <c r="J202" s="33">
        <v>46266</v>
      </c>
      <c r="K202" s="32">
        <v>0</v>
      </c>
      <c r="L202" s="32"/>
      <c r="M202" s="32">
        <v>0</v>
      </c>
      <c r="N202" s="31"/>
      <c r="O202" s="34">
        <v>46100.749837962961</v>
      </c>
      <c r="P202" s="35" t="s">
        <v>72</v>
      </c>
      <c r="Q202" s="35" t="s">
        <v>79</v>
      </c>
      <c r="R202" s="33">
        <v>46306</v>
      </c>
      <c r="S202" s="30" t="s">
        <v>21</v>
      </c>
      <c r="T202" s="36">
        <v>201</v>
      </c>
      <c r="U202" s="30" t="s">
        <v>74</v>
      </c>
      <c r="V202" s="30" t="s">
        <v>73</v>
      </c>
    </row>
    <row r="203" spans="1:22" ht="45" hidden="1" x14ac:dyDescent="0.25">
      <c r="A203" s="30" t="s">
        <v>216</v>
      </c>
      <c r="B203" s="30" t="s">
        <v>177</v>
      </c>
      <c r="C203" s="30" t="s">
        <v>130</v>
      </c>
      <c r="D203" s="31" t="s">
        <v>217</v>
      </c>
      <c r="E203" s="30" t="s">
        <v>100</v>
      </c>
      <c r="F203" s="30" t="s">
        <v>19</v>
      </c>
      <c r="G203" s="31" t="s">
        <v>218</v>
      </c>
      <c r="H203" s="32">
        <v>0.42499999999999999</v>
      </c>
      <c r="I203" s="31"/>
      <c r="J203" s="33">
        <v>46296</v>
      </c>
      <c r="K203" s="32">
        <v>0</v>
      </c>
      <c r="L203" s="32"/>
      <c r="M203" s="32">
        <v>0</v>
      </c>
      <c r="N203" s="31"/>
      <c r="O203" s="34">
        <v>46100.749837962961</v>
      </c>
      <c r="P203" s="35" t="s">
        <v>72</v>
      </c>
      <c r="Q203" s="35" t="s">
        <v>79</v>
      </c>
      <c r="R203" s="33">
        <v>46336</v>
      </c>
      <c r="S203" s="30" t="s">
        <v>21</v>
      </c>
      <c r="T203" s="36">
        <v>202</v>
      </c>
      <c r="U203" s="30" t="s">
        <v>74</v>
      </c>
      <c r="V203" s="30" t="s">
        <v>73</v>
      </c>
    </row>
    <row r="204" spans="1:22" ht="45" hidden="1" x14ac:dyDescent="0.25">
      <c r="A204" s="30" t="s">
        <v>216</v>
      </c>
      <c r="B204" s="30" t="s">
        <v>177</v>
      </c>
      <c r="C204" s="30" t="s">
        <v>130</v>
      </c>
      <c r="D204" s="31" t="s">
        <v>217</v>
      </c>
      <c r="E204" s="30" t="s">
        <v>100</v>
      </c>
      <c r="F204" s="30" t="s">
        <v>19</v>
      </c>
      <c r="G204" s="31" t="s">
        <v>218</v>
      </c>
      <c r="H204" s="32">
        <v>0.42499999999999999</v>
      </c>
      <c r="I204" s="31"/>
      <c r="J204" s="33">
        <v>46327</v>
      </c>
      <c r="K204" s="32">
        <v>0</v>
      </c>
      <c r="L204" s="32"/>
      <c r="M204" s="32">
        <v>0</v>
      </c>
      <c r="N204" s="31"/>
      <c r="O204" s="34">
        <v>46100.749837962961</v>
      </c>
      <c r="P204" s="35" t="s">
        <v>72</v>
      </c>
      <c r="Q204" s="35" t="s">
        <v>79</v>
      </c>
      <c r="R204" s="33">
        <v>46367</v>
      </c>
      <c r="S204" s="30" t="s">
        <v>21</v>
      </c>
      <c r="T204" s="36">
        <v>203</v>
      </c>
      <c r="U204" s="30" t="s">
        <v>74</v>
      </c>
      <c r="V204" s="30" t="s">
        <v>73</v>
      </c>
    </row>
    <row r="205" spans="1:22" ht="45" hidden="1" x14ac:dyDescent="0.25">
      <c r="A205" s="30" t="s">
        <v>216</v>
      </c>
      <c r="B205" s="30" t="s">
        <v>177</v>
      </c>
      <c r="C205" s="30" t="s">
        <v>130</v>
      </c>
      <c r="D205" s="31" t="s">
        <v>217</v>
      </c>
      <c r="E205" s="30" t="s">
        <v>100</v>
      </c>
      <c r="F205" s="30" t="s">
        <v>19</v>
      </c>
      <c r="G205" s="31" t="s">
        <v>218</v>
      </c>
      <c r="H205" s="32">
        <v>0.42499999999999999</v>
      </c>
      <c r="I205" s="31"/>
      <c r="J205" s="33">
        <v>46357</v>
      </c>
      <c r="K205" s="32">
        <v>0</v>
      </c>
      <c r="L205" s="32"/>
      <c r="M205" s="32">
        <v>0</v>
      </c>
      <c r="N205" s="31"/>
      <c r="O205" s="34">
        <v>46100.749837962961</v>
      </c>
      <c r="P205" s="35" t="s">
        <v>72</v>
      </c>
      <c r="Q205" s="35" t="s">
        <v>79</v>
      </c>
      <c r="R205" s="33">
        <v>46397</v>
      </c>
      <c r="S205" s="30" t="s">
        <v>21</v>
      </c>
      <c r="T205" s="36">
        <v>204</v>
      </c>
      <c r="U205" s="30" t="s">
        <v>74</v>
      </c>
      <c r="V205" s="30" t="s">
        <v>73</v>
      </c>
    </row>
    <row r="206" spans="1:22" ht="45" hidden="1" x14ac:dyDescent="0.25">
      <c r="A206" s="30" t="s">
        <v>227</v>
      </c>
      <c r="B206" s="30" t="s">
        <v>177</v>
      </c>
      <c r="C206" s="30" t="s">
        <v>130</v>
      </c>
      <c r="D206" s="31" t="s">
        <v>228</v>
      </c>
      <c r="E206" s="30" t="s">
        <v>100</v>
      </c>
      <c r="F206" s="30" t="s">
        <v>19</v>
      </c>
      <c r="G206" s="31" t="s">
        <v>229</v>
      </c>
      <c r="H206" s="32">
        <v>0.35</v>
      </c>
      <c r="I206" s="31"/>
      <c r="J206" s="33">
        <v>46023</v>
      </c>
      <c r="K206" s="32">
        <v>0.2727</v>
      </c>
      <c r="L206" s="32">
        <v>0.77910000000000001</v>
      </c>
      <c r="M206" s="32">
        <v>0.77910000000000001</v>
      </c>
      <c r="N206" s="31" t="s">
        <v>230</v>
      </c>
      <c r="O206" s="34">
        <v>46128.786620370367</v>
      </c>
      <c r="P206" s="35" t="s">
        <v>103</v>
      </c>
      <c r="Q206" s="35" t="s">
        <v>70</v>
      </c>
      <c r="R206" s="33">
        <v>46063</v>
      </c>
      <c r="S206" s="30" t="s">
        <v>21</v>
      </c>
      <c r="T206" s="36">
        <v>205</v>
      </c>
      <c r="U206" s="30" t="s">
        <v>74</v>
      </c>
      <c r="V206" s="30" t="s">
        <v>73</v>
      </c>
    </row>
    <row r="207" spans="1:22" ht="45" hidden="1" x14ac:dyDescent="0.25">
      <c r="A207" s="30" t="s">
        <v>227</v>
      </c>
      <c r="B207" s="30" t="s">
        <v>177</v>
      </c>
      <c r="C207" s="30" t="s">
        <v>130</v>
      </c>
      <c r="D207" s="31" t="s">
        <v>228</v>
      </c>
      <c r="E207" s="30" t="s">
        <v>100</v>
      </c>
      <c r="F207" s="30" t="s">
        <v>19</v>
      </c>
      <c r="G207" s="31" t="s">
        <v>229</v>
      </c>
      <c r="H207" s="32">
        <v>0.35</v>
      </c>
      <c r="I207" s="31"/>
      <c r="J207" s="33">
        <v>46054</v>
      </c>
      <c r="K207" s="32">
        <v>0.26190000000000002</v>
      </c>
      <c r="L207" s="32">
        <v>0.74829999999999997</v>
      </c>
      <c r="M207" s="32">
        <v>0.74829999999999997</v>
      </c>
      <c r="N207" s="31" t="s">
        <v>231</v>
      </c>
      <c r="O207" s="34">
        <v>46128.788668981484</v>
      </c>
      <c r="P207" s="35" t="s">
        <v>103</v>
      </c>
      <c r="Q207" s="35" t="s">
        <v>70</v>
      </c>
      <c r="R207" s="33">
        <v>46094</v>
      </c>
      <c r="S207" s="30" t="s">
        <v>21</v>
      </c>
      <c r="T207" s="36">
        <v>206</v>
      </c>
      <c r="U207" s="30" t="s">
        <v>74</v>
      </c>
      <c r="V207" s="30" t="s">
        <v>73</v>
      </c>
    </row>
    <row r="208" spans="1:22" ht="45" hidden="1" x14ac:dyDescent="0.25">
      <c r="A208" s="30" t="s">
        <v>227</v>
      </c>
      <c r="B208" s="30" t="s">
        <v>177</v>
      </c>
      <c r="C208" s="30" t="s">
        <v>130</v>
      </c>
      <c r="D208" s="31" t="s">
        <v>228</v>
      </c>
      <c r="E208" s="30" t="s">
        <v>100</v>
      </c>
      <c r="F208" s="30" t="s">
        <v>19</v>
      </c>
      <c r="G208" s="31" t="s">
        <v>229</v>
      </c>
      <c r="H208" s="32">
        <v>0.35</v>
      </c>
      <c r="I208" s="31"/>
      <c r="J208" s="33">
        <v>46082</v>
      </c>
      <c r="K208" s="32">
        <v>0.25580000000000003</v>
      </c>
      <c r="L208" s="32">
        <v>0.73089999999999999</v>
      </c>
      <c r="M208" s="32">
        <v>0.73089999999999999</v>
      </c>
      <c r="N208" s="31" t="s">
        <v>232</v>
      </c>
      <c r="O208" s="34">
        <v>46128.789050925923</v>
      </c>
      <c r="P208" s="35" t="s">
        <v>103</v>
      </c>
      <c r="Q208" s="35" t="s">
        <v>70</v>
      </c>
      <c r="R208" s="33">
        <v>46122</v>
      </c>
      <c r="S208" s="30" t="s">
        <v>21</v>
      </c>
      <c r="T208" s="36">
        <v>207</v>
      </c>
      <c r="U208" s="30" t="s">
        <v>74</v>
      </c>
      <c r="V208" s="30" t="s">
        <v>73</v>
      </c>
    </row>
    <row r="209" spans="1:22" ht="45" hidden="1" x14ac:dyDescent="0.25">
      <c r="A209" s="30" t="s">
        <v>227</v>
      </c>
      <c r="B209" s="30" t="s">
        <v>177</v>
      </c>
      <c r="C209" s="30" t="s">
        <v>130</v>
      </c>
      <c r="D209" s="31" t="s">
        <v>228</v>
      </c>
      <c r="E209" s="30" t="s">
        <v>100</v>
      </c>
      <c r="F209" s="30" t="s">
        <v>19</v>
      </c>
      <c r="G209" s="31" t="s">
        <v>229</v>
      </c>
      <c r="H209" s="32">
        <v>0.35</v>
      </c>
      <c r="I209" s="31"/>
      <c r="J209" s="33">
        <v>46113</v>
      </c>
      <c r="K209" s="32">
        <v>0.25580000000000003</v>
      </c>
      <c r="L209" s="32">
        <v>0.73089999999999999</v>
      </c>
      <c r="M209" s="32">
        <v>0.73089999999999999</v>
      </c>
      <c r="N209" s="31" t="s">
        <v>233</v>
      </c>
      <c r="O209" s="34">
        <v>46203.687442129631</v>
      </c>
      <c r="P209" s="35" t="s">
        <v>103</v>
      </c>
      <c r="Q209" s="35" t="s">
        <v>70</v>
      </c>
      <c r="R209" s="33">
        <v>46153</v>
      </c>
      <c r="S209" s="30" t="s">
        <v>21</v>
      </c>
      <c r="T209" s="36">
        <v>208</v>
      </c>
      <c r="U209" s="30" t="s">
        <v>74</v>
      </c>
      <c r="V209" s="30" t="s">
        <v>73</v>
      </c>
    </row>
    <row r="210" spans="1:22" ht="45" hidden="1" x14ac:dyDescent="0.25">
      <c r="A210" s="30" t="s">
        <v>227</v>
      </c>
      <c r="B210" s="30" t="s">
        <v>177</v>
      </c>
      <c r="C210" s="30" t="s">
        <v>130</v>
      </c>
      <c r="D210" s="31" t="s">
        <v>228</v>
      </c>
      <c r="E210" s="30" t="s">
        <v>100</v>
      </c>
      <c r="F210" s="30" t="s">
        <v>19</v>
      </c>
      <c r="G210" s="31" t="s">
        <v>229</v>
      </c>
      <c r="H210" s="32">
        <v>0.35</v>
      </c>
      <c r="I210" s="31"/>
      <c r="J210" s="33">
        <v>46143</v>
      </c>
      <c r="K210" s="32">
        <v>0.26669999999999999</v>
      </c>
      <c r="L210" s="32">
        <v>0.76200000000000001</v>
      </c>
      <c r="M210" s="32">
        <v>0.76200000000000001</v>
      </c>
      <c r="N210" s="31" t="s">
        <v>234</v>
      </c>
      <c r="O210" s="34">
        <v>46203.693101851852</v>
      </c>
      <c r="P210" s="35" t="s">
        <v>103</v>
      </c>
      <c r="Q210" s="35" t="s">
        <v>70</v>
      </c>
      <c r="R210" s="33">
        <v>46183</v>
      </c>
      <c r="S210" s="30" t="s">
        <v>21</v>
      </c>
      <c r="T210" s="36">
        <v>209</v>
      </c>
      <c r="U210" s="30" t="s">
        <v>74</v>
      </c>
      <c r="V210" s="30" t="s">
        <v>73</v>
      </c>
    </row>
    <row r="211" spans="1:22" ht="45" hidden="1" x14ac:dyDescent="0.25">
      <c r="A211" s="30" t="s">
        <v>227</v>
      </c>
      <c r="B211" s="30" t="s">
        <v>177</v>
      </c>
      <c r="C211" s="30" t="s">
        <v>130</v>
      </c>
      <c r="D211" s="31" t="s">
        <v>228</v>
      </c>
      <c r="E211" s="30" t="s">
        <v>100</v>
      </c>
      <c r="F211" s="30" t="s">
        <v>19</v>
      </c>
      <c r="G211" s="31" t="s">
        <v>229</v>
      </c>
      <c r="H211" s="32">
        <v>0.35</v>
      </c>
      <c r="I211" s="31"/>
      <c r="J211" s="33">
        <v>46174</v>
      </c>
      <c r="K211" s="32">
        <v>0.23910000000000001</v>
      </c>
      <c r="L211" s="32">
        <v>0.68310000000000004</v>
      </c>
      <c r="M211" s="32">
        <v>0.68310000000000004</v>
      </c>
      <c r="N211" s="31" t="s">
        <v>235</v>
      </c>
      <c r="O211" s="34">
        <v>46219.806226851855</v>
      </c>
      <c r="P211" s="35" t="s">
        <v>103</v>
      </c>
      <c r="Q211" s="35" t="s">
        <v>70</v>
      </c>
      <c r="R211" s="33">
        <v>46214</v>
      </c>
      <c r="S211" s="30" t="s">
        <v>21</v>
      </c>
      <c r="T211" s="36">
        <v>210</v>
      </c>
      <c r="U211" s="30" t="s">
        <v>74</v>
      </c>
      <c r="V211" s="30" t="s">
        <v>73</v>
      </c>
    </row>
    <row r="212" spans="1:22" ht="45" hidden="1" x14ac:dyDescent="0.25">
      <c r="A212" s="30" t="s">
        <v>227</v>
      </c>
      <c r="B212" s="30" t="s">
        <v>177</v>
      </c>
      <c r="C212" s="30" t="s">
        <v>130</v>
      </c>
      <c r="D212" s="31" t="s">
        <v>228</v>
      </c>
      <c r="E212" s="30" t="s">
        <v>100</v>
      </c>
      <c r="F212" s="30" t="s">
        <v>19</v>
      </c>
      <c r="G212" s="31" t="s">
        <v>229</v>
      </c>
      <c r="H212" s="32">
        <v>0.35</v>
      </c>
      <c r="I212" s="31"/>
      <c r="J212" s="33">
        <v>46204</v>
      </c>
      <c r="K212" s="32">
        <v>0.26090000000000002</v>
      </c>
      <c r="L212" s="32">
        <v>0.745428571428572</v>
      </c>
      <c r="M212" s="32">
        <v>0.745428571428572</v>
      </c>
      <c r="N212" s="31" t="s">
        <v>236</v>
      </c>
      <c r="O212" s="34">
        <v>46237.712881944448</v>
      </c>
      <c r="P212" s="35" t="s">
        <v>226</v>
      </c>
      <c r="Q212" s="35" t="s">
        <v>79</v>
      </c>
      <c r="R212" s="33">
        <v>46244</v>
      </c>
      <c r="S212" s="30" t="s">
        <v>21</v>
      </c>
      <c r="T212" s="36">
        <v>211</v>
      </c>
      <c r="U212" s="30" t="s">
        <v>74</v>
      </c>
      <c r="V212" s="30" t="s">
        <v>73</v>
      </c>
    </row>
    <row r="213" spans="1:22" ht="45" hidden="1" x14ac:dyDescent="0.25">
      <c r="A213" s="30" t="s">
        <v>227</v>
      </c>
      <c r="B213" s="30" t="s">
        <v>177</v>
      </c>
      <c r="C213" s="30" t="s">
        <v>130</v>
      </c>
      <c r="D213" s="31" t="s">
        <v>228</v>
      </c>
      <c r="E213" s="30" t="s">
        <v>100</v>
      </c>
      <c r="F213" s="30" t="s">
        <v>19</v>
      </c>
      <c r="G213" s="31" t="s">
        <v>229</v>
      </c>
      <c r="H213" s="32">
        <v>0.35</v>
      </c>
      <c r="I213" s="31"/>
      <c r="J213" s="33">
        <v>46235</v>
      </c>
      <c r="K213" s="32">
        <v>0</v>
      </c>
      <c r="L213" s="32"/>
      <c r="M213" s="32">
        <v>0</v>
      </c>
      <c r="N213" s="31"/>
      <c r="O213" s="34">
        <v>46100.749849537038</v>
      </c>
      <c r="P213" s="35" t="s">
        <v>72</v>
      </c>
      <c r="Q213" s="35" t="s">
        <v>79</v>
      </c>
      <c r="R213" s="33">
        <v>46275</v>
      </c>
      <c r="S213" s="30" t="s">
        <v>21</v>
      </c>
      <c r="T213" s="36">
        <v>212</v>
      </c>
      <c r="U213" s="30" t="s">
        <v>74</v>
      </c>
      <c r="V213" s="30" t="s">
        <v>73</v>
      </c>
    </row>
    <row r="214" spans="1:22" ht="45" hidden="1" x14ac:dyDescent="0.25">
      <c r="A214" s="30" t="s">
        <v>227</v>
      </c>
      <c r="B214" s="30" t="s">
        <v>177</v>
      </c>
      <c r="C214" s="30" t="s">
        <v>130</v>
      </c>
      <c r="D214" s="31" t="s">
        <v>228</v>
      </c>
      <c r="E214" s="30" t="s">
        <v>100</v>
      </c>
      <c r="F214" s="30" t="s">
        <v>19</v>
      </c>
      <c r="G214" s="31" t="s">
        <v>229</v>
      </c>
      <c r="H214" s="32">
        <v>0.35</v>
      </c>
      <c r="I214" s="31"/>
      <c r="J214" s="33">
        <v>46266</v>
      </c>
      <c r="K214" s="32">
        <v>0</v>
      </c>
      <c r="L214" s="32"/>
      <c r="M214" s="32">
        <v>0</v>
      </c>
      <c r="N214" s="31"/>
      <c r="O214" s="34">
        <v>46100.749849537038</v>
      </c>
      <c r="P214" s="35" t="s">
        <v>72</v>
      </c>
      <c r="Q214" s="35" t="s">
        <v>79</v>
      </c>
      <c r="R214" s="33">
        <v>46306</v>
      </c>
      <c r="S214" s="30" t="s">
        <v>21</v>
      </c>
      <c r="T214" s="36">
        <v>213</v>
      </c>
      <c r="U214" s="30" t="s">
        <v>74</v>
      </c>
      <c r="V214" s="30" t="s">
        <v>73</v>
      </c>
    </row>
    <row r="215" spans="1:22" ht="45" hidden="1" x14ac:dyDescent="0.25">
      <c r="A215" s="30" t="s">
        <v>227</v>
      </c>
      <c r="B215" s="30" t="s">
        <v>177</v>
      </c>
      <c r="C215" s="30" t="s">
        <v>130</v>
      </c>
      <c r="D215" s="31" t="s">
        <v>228</v>
      </c>
      <c r="E215" s="30" t="s">
        <v>100</v>
      </c>
      <c r="F215" s="30" t="s">
        <v>19</v>
      </c>
      <c r="G215" s="31" t="s">
        <v>229</v>
      </c>
      <c r="H215" s="32">
        <v>0.35</v>
      </c>
      <c r="I215" s="31"/>
      <c r="J215" s="33">
        <v>46296</v>
      </c>
      <c r="K215" s="32">
        <v>0</v>
      </c>
      <c r="L215" s="32"/>
      <c r="M215" s="32">
        <v>0</v>
      </c>
      <c r="N215" s="31"/>
      <c r="O215" s="34">
        <v>46100.749849537038</v>
      </c>
      <c r="P215" s="35" t="s">
        <v>72</v>
      </c>
      <c r="Q215" s="35" t="s">
        <v>79</v>
      </c>
      <c r="R215" s="33">
        <v>46336</v>
      </c>
      <c r="S215" s="30" t="s">
        <v>21</v>
      </c>
      <c r="T215" s="36">
        <v>214</v>
      </c>
      <c r="U215" s="30" t="s">
        <v>74</v>
      </c>
      <c r="V215" s="30" t="s">
        <v>73</v>
      </c>
    </row>
    <row r="216" spans="1:22" ht="45" hidden="1" x14ac:dyDescent="0.25">
      <c r="A216" s="30" t="s">
        <v>227</v>
      </c>
      <c r="B216" s="30" t="s">
        <v>177</v>
      </c>
      <c r="C216" s="30" t="s">
        <v>130</v>
      </c>
      <c r="D216" s="31" t="s">
        <v>228</v>
      </c>
      <c r="E216" s="30" t="s">
        <v>100</v>
      </c>
      <c r="F216" s="30" t="s">
        <v>19</v>
      </c>
      <c r="G216" s="31" t="s">
        <v>229</v>
      </c>
      <c r="H216" s="32">
        <v>0.35</v>
      </c>
      <c r="I216" s="31"/>
      <c r="J216" s="33">
        <v>46327</v>
      </c>
      <c r="K216" s="32">
        <v>0</v>
      </c>
      <c r="L216" s="32"/>
      <c r="M216" s="32">
        <v>0</v>
      </c>
      <c r="N216" s="31"/>
      <c r="O216" s="34">
        <v>46100.749861111108</v>
      </c>
      <c r="P216" s="35" t="s">
        <v>72</v>
      </c>
      <c r="Q216" s="35" t="s">
        <v>79</v>
      </c>
      <c r="R216" s="33">
        <v>46367</v>
      </c>
      <c r="S216" s="30" t="s">
        <v>21</v>
      </c>
      <c r="T216" s="36">
        <v>215</v>
      </c>
      <c r="U216" s="30" t="s">
        <v>74</v>
      </c>
      <c r="V216" s="30" t="s">
        <v>73</v>
      </c>
    </row>
    <row r="217" spans="1:22" ht="45" hidden="1" x14ac:dyDescent="0.25">
      <c r="A217" s="30" t="s">
        <v>227</v>
      </c>
      <c r="B217" s="30" t="s">
        <v>177</v>
      </c>
      <c r="C217" s="30" t="s">
        <v>130</v>
      </c>
      <c r="D217" s="31" t="s">
        <v>228</v>
      </c>
      <c r="E217" s="30" t="s">
        <v>100</v>
      </c>
      <c r="F217" s="30" t="s">
        <v>19</v>
      </c>
      <c r="G217" s="31" t="s">
        <v>229</v>
      </c>
      <c r="H217" s="32">
        <v>0.35</v>
      </c>
      <c r="I217" s="31"/>
      <c r="J217" s="33">
        <v>46357</v>
      </c>
      <c r="K217" s="32">
        <v>0</v>
      </c>
      <c r="L217" s="32"/>
      <c r="M217" s="32">
        <v>0</v>
      </c>
      <c r="N217" s="31"/>
      <c r="O217" s="34">
        <v>46100.749861111108</v>
      </c>
      <c r="P217" s="35" t="s">
        <v>72</v>
      </c>
      <c r="Q217" s="35" t="s">
        <v>79</v>
      </c>
      <c r="R217" s="33">
        <v>46397</v>
      </c>
      <c r="S217" s="30" t="s">
        <v>21</v>
      </c>
      <c r="T217" s="36">
        <v>216</v>
      </c>
      <c r="U217" s="30" t="s">
        <v>74</v>
      </c>
      <c r="V217" s="30" t="s">
        <v>73</v>
      </c>
    </row>
    <row r="218" spans="1:22" ht="105" hidden="1" x14ac:dyDescent="0.25">
      <c r="A218" s="30" t="s">
        <v>237</v>
      </c>
      <c r="B218" s="30" t="s">
        <v>177</v>
      </c>
      <c r="C218" s="30" t="s">
        <v>130</v>
      </c>
      <c r="D218" s="31" t="s">
        <v>237</v>
      </c>
      <c r="E218" s="30" t="s">
        <v>132</v>
      </c>
      <c r="F218" s="30" t="s">
        <v>15</v>
      </c>
      <c r="G218" s="31" t="s">
        <v>238</v>
      </c>
      <c r="H218" s="32">
        <v>0.9</v>
      </c>
      <c r="I218" s="31"/>
      <c r="J218" s="33">
        <v>46023</v>
      </c>
      <c r="K218" s="32">
        <v>0</v>
      </c>
      <c r="L218" s="32">
        <v>0</v>
      </c>
      <c r="M218" s="32">
        <v>0</v>
      </c>
      <c r="N218" s="31" t="s">
        <v>239</v>
      </c>
      <c r="O218" s="34">
        <v>46219.7184837963</v>
      </c>
      <c r="P218" s="35" t="s">
        <v>109</v>
      </c>
      <c r="Q218" s="35" t="s">
        <v>70</v>
      </c>
      <c r="R218" s="33">
        <v>46063</v>
      </c>
      <c r="S218" s="30" t="s">
        <v>21</v>
      </c>
      <c r="T218" s="36">
        <v>217</v>
      </c>
      <c r="U218" s="30" t="s">
        <v>74</v>
      </c>
      <c r="V218" s="30" t="s">
        <v>73</v>
      </c>
    </row>
    <row r="219" spans="1:22" ht="120" hidden="1" x14ac:dyDescent="0.25">
      <c r="A219" s="30" t="s">
        <v>237</v>
      </c>
      <c r="B219" s="30" t="s">
        <v>177</v>
      </c>
      <c r="C219" s="30" t="s">
        <v>130</v>
      </c>
      <c r="D219" s="31" t="s">
        <v>237</v>
      </c>
      <c r="E219" s="30" t="s">
        <v>132</v>
      </c>
      <c r="F219" s="30" t="s">
        <v>15</v>
      </c>
      <c r="G219" s="31" t="s">
        <v>238</v>
      </c>
      <c r="H219" s="32">
        <v>0.9</v>
      </c>
      <c r="I219" s="31"/>
      <c r="J219" s="33">
        <v>46054</v>
      </c>
      <c r="K219" s="32">
        <v>0</v>
      </c>
      <c r="L219" s="32">
        <v>0</v>
      </c>
      <c r="M219" s="32">
        <v>0</v>
      </c>
      <c r="N219" s="31" t="s">
        <v>240</v>
      </c>
      <c r="O219" s="34">
        <v>46219.7187037037</v>
      </c>
      <c r="P219" s="35" t="s">
        <v>109</v>
      </c>
      <c r="Q219" s="35" t="s">
        <v>70</v>
      </c>
      <c r="R219" s="33">
        <v>46094</v>
      </c>
      <c r="S219" s="30" t="s">
        <v>21</v>
      </c>
      <c r="T219" s="36">
        <v>218</v>
      </c>
      <c r="U219" s="30" t="s">
        <v>74</v>
      </c>
      <c r="V219" s="30" t="s">
        <v>73</v>
      </c>
    </row>
    <row r="220" spans="1:22" ht="75" hidden="1" x14ac:dyDescent="0.25">
      <c r="A220" s="30" t="s">
        <v>237</v>
      </c>
      <c r="B220" s="30" t="s">
        <v>177</v>
      </c>
      <c r="C220" s="30" t="s">
        <v>130</v>
      </c>
      <c r="D220" s="31" t="s">
        <v>237</v>
      </c>
      <c r="E220" s="30" t="s">
        <v>132</v>
      </c>
      <c r="F220" s="30" t="s">
        <v>15</v>
      </c>
      <c r="G220" s="31" t="s">
        <v>238</v>
      </c>
      <c r="H220" s="32">
        <v>0.9</v>
      </c>
      <c r="I220" s="31"/>
      <c r="J220" s="33">
        <v>46082</v>
      </c>
      <c r="K220" s="32">
        <v>0</v>
      </c>
      <c r="L220" s="32">
        <v>0</v>
      </c>
      <c r="M220" s="32">
        <v>0</v>
      </c>
      <c r="N220" s="31" t="s">
        <v>241</v>
      </c>
      <c r="O220" s="34">
        <v>46204.677395833336</v>
      </c>
      <c r="P220" s="35" t="s">
        <v>109</v>
      </c>
      <c r="Q220" s="35" t="s">
        <v>70</v>
      </c>
      <c r="R220" s="33">
        <v>46122</v>
      </c>
      <c r="S220" s="30" t="s">
        <v>21</v>
      </c>
      <c r="T220" s="36">
        <v>219</v>
      </c>
      <c r="U220" s="30" t="s">
        <v>74</v>
      </c>
      <c r="V220" s="30" t="s">
        <v>73</v>
      </c>
    </row>
    <row r="221" spans="1:22" ht="75" hidden="1" x14ac:dyDescent="0.25">
      <c r="A221" s="30" t="s">
        <v>237</v>
      </c>
      <c r="B221" s="30" t="s">
        <v>177</v>
      </c>
      <c r="C221" s="30" t="s">
        <v>130</v>
      </c>
      <c r="D221" s="31" t="s">
        <v>237</v>
      </c>
      <c r="E221" s="30" t="s">
        <v>132</v>
      </c>
      <c r="F221" s="30" t="s">
        <v>15</v>
      </c>
      <c r="G221" s="31" t="s">
        <v>238</v>
      </c>
      <c r="H221" s="32">
        <v>0.9</v>
      </c>
      <c r="I221" s="31"/>
      <c r="J221" s="33">
        <v>46113</v>
      </c>
      <c r="K221" s="32">
        <v>0</v>
      </c>
      <c r="L221" s="32">
        <v>0</v>
      </c>
      <c r="M221" s="32">
        <v>0</v>
      </c>
      <c r="N221" s="31" t="s">
        <v>242</v>
      </c>
      <c r="O221" s="34">
        <v>46219.718935185185</v>
      </c>
      <c r="P221" s="35" t="s">
        <v>109</v>
      </c>
      <c r="Q221" s="35" t="s">
        <v>79</v>
      </c>
      <c r="R221" s="33">
        <v>46153</v>
      </c>
      <c r="S221" s="30" t="s">
        <v>21</v>
      </c>
      <c r="T221" s="36">
        <v>220</v>
      </c>
      <c r="U221" s="30" t="s">
        <v>74</v>
      </c>
      <c r="V221" s="30" t="s">
        <v>73</v>
      </c>
    </row>
    <row r="222" spans="1:22" ht="90" hidden="1" x14ac:dyDescent="0.25">
      <c r="A222" s="30" t="s">
        <v>237</v>
      </c>
      <c r="B222" s="30" t="s">
        <v>177</v>
      </c>
      <c r="C222" s="30" t="s">
        <v>130</v>
      </c>
      <c r="D222" s="31" t="s">
        <v>237</v>
      </c>
      <c r="E222" s="30" t="s">
        <v>132</v>
      </c>
      <c r="F222" s="30" t="s">
        <v>15</v>
      </c>
      <c r="G222" s="31" t="s">
        <v>238</v>
      </c>
      <c r="H222" s="32">
        <v>0.9</v>
      </c>
      <c r="I222" s="31"/>
      <c r="J222" s="33">
        <v>46143</v>
      </c>
      <c r="K222" s="32">
        <v>0</v>
      </c>
      <c r="L222" s="32">
        <v>0</v>
      </c>
      <c r="M222" s="32">
        <v>0</v>
      </c>
      <c r="N222" s="31" t="s">
        <v>243</v>
      </c>
      <c r="O222" s="34">
        <v>46219.7190625</v>
      </c>
      <c r="P222" s="35" t="s">
        <v>109</v>
      </c>
      <c r="Q222" s="35" t="s">
        <v>79</v>
      </c>
      <c r="R222" s="33">
        <v>46183</v>
      </c>
      <c r="S222" s="30" t="s">
        <v>21</v>
      </c>
      <c r="T222" s="36">
        <v>221</v>
      </c>
      <c r="U222" s="30" t="s">
        <v>74</v>
      </c>
      <c r="V222" s="30" t="s">
        <v>73</v>
      </c>
    </row>
    <row r="223" spans="1:22" ht="45" hidden="1" x14ac:dyDescent="0.25">
      <c r="A223" s="30" t="s">
        <v>237</v>
      </c>
      <c r="B223" s="30" t="s">
        <v>177</v>
      </c>
      <c r="C223" s="30" t="s">
        <v>130</v>
      </c>
      <c r="D223" s="31" t="s">
        <v>237</v>
      </c>
      <c r="E223" s="30" t="s">
        <v>132</v>
      </c>
      <c r="F223" s="30" t="s">
        <v>15</v>
      </c>
      <c r="G223" s="31" t="s">
        <v>238</v>
      </c>
      <c r="H223" s="32">
        <v>0.9</v>
      </c>
      <c r="I223" s="31"/>
      <c r="J223" s="33">
        <v>46174</v>
      </c>
      <c r="K223" s="32">
        <v>0.96</v>
      </c>
      <c r="L223" s="32">
        <v>1.06</v>
      </c>
      <c r="M223" s="32">
        <v>1</v>
      </c>
      <c r="N223" s="31" t="s">
        <v>244</v>
      </c>
      <c r="O223" s="34">
        <v>46220.4608912037</v>
      </c>
      <c r="P223" s="35" t="s">
        <v>135</v>
      </c>
      <c r="Q223" s="35" t="s">
        <v>70</v>
      </c>
      <c r="R223" s="33">
        <v>46214</v>
      </c>
      <c r="S223" s="30" t="s">
        <v>21</v>
      </c>
      <c r="T223" s="36">
        <v>222</v>
      </c>
      <c r="U223" s="30" t="s">
        <v>74</v>
      </c>
      <c r="V223" s="30" t="s">
        <v>73</v>
      </c>
    </row>
    <row r="224" spans="1:22" ht="45" hidden="1" x14ac:dyDescent="0.25">
      <c r="A224" s="30" t="s">
        <v>237</v>
      </c>
      <c r="B224" s="30" t="s">
        <v>177</v>
      </c>
      <c r="C224" s="30" t="s">
        <v>130</v>
      </c>
      <c r="D224" s="31" t="s">
        <v>237</v>
      </c>
      <c r="E224" s="30" t="s">
        <v>132</v>
      </c>
      <c r="F224" s="30" t="s">
        <v>15</v>
      </c>
      <c r="G224" s="31" t="s">
        <v>238</v>
      </c>
      <c r="H224" s="32">
        <v>0.9</v>
      </c>
      <c r="I224" s="31"/>
      <c r="J224" s="33">
        <v>46204</v>
      </c>
      <c r="K224" s="32">
        <v>0</v>
      </c>
      <c r="L224" s="32"/>
      <c r="M224" s="32">
        <v>0</v>
      </c>
      <c r="N224" s="31"/>
      <c r="O224" s="34">
        <v>46219.71947916667</v>
      </c>
      <c r="P224" s="35" t="s">
        <v>109</v>
      </c>
      <c r="Q224" s="35" t="s">
        <v>79</v>
      </c>
      <c r="R224" s="33">
        <v>46244</v>
      </c>
      <c r="S224" s="30" t="s">
        <v>21</v>
      </c>
      <c r="T224" s="36">
        <v>223</v>
      </c>
      <c r="U224" s="30" t="s">
        <v>74</v>
      </c>
      <c r="V224" s="30" t="s">
        <v>73</v>
      </c>
    </row>
    <row r="225" spans="1:22" ht="45" hidden="1" x14ac:dyDescent="0.25">
      <c r="A225" s="30" t="s">
        <v>237</v>
      </c>
      <c r="B225" s="30" t="s">
        <v>177</v>
      </c>
      <c r="C225" s="30" t="s">
        <v>130</v>
      </c>
      <c r="D225" s="31" t="s">
        <v>237</v>
      </c>
      <c r="E225" s="30" t="s">
        <v>132</v>
      </c>
      <c r="F225" s="30" t="s">
        <v>15</v>
      </c>
      <c r="G225" s="31" t="s">
        <v>238</v>
      </c>
      <c r="H225" s="32">
        <v>0.9</v>
      </c>
      <c r="I225" s="31"/>
      <c r="J225" s="33">
        <v>46235</v>
      </c>
      <c r="K225" s="32">
        <v>0</v>
      </c>
      <c r="L225" s="32"/>
      <c r="M225" s="32">
        <v>0</v>
      </c>
      <c r="N225" s="31"/>
      <c r="O225" s="34">
        <v>46219.719664351855</v>
      </c>
      <c r="P225" s="35" t="s">
        <v>109</v>
      </c>
      <c r="Q225" s="35" t="s">
        <v>79</v>
      </c>
      <c r="R225" s="33">
        <v>46275</v>
      </c>
      <c r="S225" s="30" t="s">
        <v>21</v>
      </c>
      <c r="T225" s="36">
        <v>224</v>
      </c>
      <c r="U225" s="30" t="s">
        <v>74</v>
      </c>
      <c r="V225" s="30" t="s">
        <v>73</v>
      </c>
    </row>
    <row r="226" spans="1:22" ht="45" hidden="1" x14ac:dyDescent="0.25">
      <c r="A226" s="30" t="s">
        <v>237</v>
      </c>
      <c r="B226" s="30" t="s">
        <v>177</v>
      </c>
      <c r="C226" s="30" t="s">
        <v>130</v>
      </c>
      <c r="D226" s="31" t="s">
        <v>237</v>
      </c>
      <c r="E226" s="30" t="s">
        <v>132</v>
      </c>
      <c r="F226" s="30" t="s">
        <v>15</v>
      </c>
      <c r="G226" s="31" t="s">
        <v>238</v>
      </c>
      <c r="H226" s="32">
        <v>0.9</v>
      </c>
      <c r="I226" s="31"/>
      <c r="J226" s="33">
        <v>46266</v>
      </c>
      <c r="K226" s="32">
        <v>0</v>
      </c>
      <c r="L226" s="32"/>
      <c r="M226" s="32">
        <v>0</v>
      </c>
      <c r="N226" s="31"/>
      <c r="O226" s="34">
        <v>46219.719756944447</v>
      </c>
      <c r="P226" s="35" t="s">
        <v>109</v>
      </c>
      <c r="Q226" s="35" t="s">
        <v>79</v>
      </c>
      <c r="R226" s="33">
        <v>46306</v>
      </c>
      <c r="S226" s="30" t="s">
        <v>21</v>
      </c>
      <c r="T226" s="36">
        <v>225</v>
      </c>
      <c r="U226" s="30" t="s">
        <v>74</v>
      </c>
      <c r="V226" s="30" t="s">
        <v>73</v>
      </c>
    </row>
    <row r="227" spans="1:22" ht="45" hidden="1" x14ac:dyDescent="0.25">
      <c r="A227" s="30" t="s">
        <v>237</v>
      </c>
      <c r="B227" s="30" t="s">
        <v>177</v>
      </c>
      <c r="C227" s="30" t="s">
        <v>130</v>
      </c>
      <c r="D227" s="31" t="s">
        <v>237</v>
      </c>
      <c r="E227" s="30" t="s">
        <v>132</v>
      </c>
      <c r="F227" s="30" t="s">
        <v>15</v>
      </c>
      <c r="G227" s="31" t="s">
        <v>238</v>
      </c>
      <c r="H227" s="32">
        <v>0.9</v>
      </c>
      <c r="I227" s="31"/>
      <c r="J227" s="33">
        <v>46296</v>
      </c>
      <c r="K227" s="32">
        <v>0</v>
      </c>
      <c r="L227" s="32"/>
      <c r="M227" s="32">
        <v>0</v>
      </c>
      <c r="N227" s="31"/>
      <c r="O227" s="34">
        <v>46219.719895833332</v>
      </c>
      <c r="P227" s="35" t="s">
        <v>109</v>
      </c>
      <c r="Q227" s="35" t="s">
        <v>79</v>
      </c>
      <c r="R227" s="33">
        <v>46336</v>
      </c>
      <c r="S227" s="30" t="s">
        <v>21</v>
      </c>
      <c r="T227" s="36">
        <v>226</v>
      </c>
      <c r="U227" s="30" t="s">
        <v>74</v>
      </c>
      <c r="V227" s="30" t="s">
        <v>73</v>
      </c>
    </row>
    <row r="228" spans="1:22" ht="45" hidden="1" x14ac:dyDescent="0.25">
      <c r="A228" s="30" t="s">
        <v>237</v>
      </c>
      <c r="B228" s="30" t="s">
        <v>177</v>
      </c>
      <c r="C228" s="30" t="s">
        <v>130</v>
      </c>
      <c r="D228" s="31" t="s">
        <v>237</v>
      </c>
      <c r="E228" s="30" t="s">
        <v>132</v>
      </c>
      <c r="F228" s="30" t="s">
        <v>15</v>
      </c>
      <c r="G228" s="31" t="s">
        <v>238</v>
      </c>
      <c r="H228" s="32">
        <v>0.9</v>
      </c>
      <c r="I228" s="31"/>
      <c r="J228" s="33">
        <v>46327</v>
      </c>
      <c r="K228" s="32">
        <v>0</v>
      </c>
      <c r="L228" s="32"/>
      <c r="M228" s="32">
        <v>0</v>
      </c>
      <c r="N228" s="31"/>
      <c r="O228" s="34">
        <v>46219.72</v>
      </c>
      <c r="P228" s="35" t="s">
        <v>109</v>
      </c>
      <c r="Q228" s="35" t="s">
        <v>79</v>
      </c>
      <c r="R228" s="33">
        <v>46367</v>
      </c>
      <c r="S228" s="30" t="s">
        <v>21</v>
      </c>
      <c r="T228" s="36">
        <v>227</v>
      </c>
      <c r="U228" s="30" t="s">
        <v>74</v>
      </c>
      <c r="V228" s="30" t="s">
        <v>73</v>
      </c>
    </row>
    <row r="229" spans="1:22" ht="45" hidden="1" x14ac:dyDescent="0.25">
      <c r="A229" s="30" t="s">
        <v>237</v>
      </c>
      <c r="B229" s="30" t="s">
        <v>177</v>
      </c>
      <c r="C229" s="30" t="s">
        <v>130</v>
      </c>
      <c r="D229" s="31" t="s">
        <v>237</v>
      </c>
      <c r="E229" s="30" t="s">
        <v>132</v>
      </c>
      <c r="F229" s="30" t="s">
        <v>15</v>
      </c>
      <c r="G229" s="31" t="s">
        <v>238</v>
      </c>
      <c r="H229" s="32">
        <v>0.9</v>
      </c>
      <c r="I229" s="31"/>
      <c r="J229" s="33">
        <v>46357</v>
      </c>
      <c r="K229" s="32">
        <v>0</v>
      </c>
      <c r="L229" s="32"/>
      <c r="M229" s="32">
        <v>0</v>
      </c>
      <c r="N229" s="31"/>
      <c r="O229" s="34">
        <v>46100.749872685185</v>
      </c>
      <c r="P229" s="35" t="s">
        <v>72</v>
      </c>
      <c r="Q229" s="35" t="s">
        <v>79</v>
      </c>
      <c r="R229" s="33">
        <v>46397</v>
      </c>
      <c r="S229" s="30" t="s">
        <v>21</v>
      </c>
      <c r="T229" s="36">
        <v>228</v>
      </c>
      <c r="U229" s="30" t="s">
        <v>74</v>
      </c>
      <c r="V229" s="30" t="s">
        <v>73</v>
      </c>
    </row>
    <row r="230" spans="1:22" ht="45" x14ac:dyDescent="0.25">
      <c r="A230" s="30" t="s">
        <v>245</v>
      </c>
      <c r="B230" s="30" t="s">
        <v>177</v>
      </c>
      <c r="C230" s="30" t="s">
        <v>143</v>
      </c>
      <c r="D230" s="31" t="s">
        <v>246</v>
      </c>
      <c r="E230" s="30" t="s">
        <v>145</v>
      </c>
      <c r="F230" s="30" t="s">
        <v>18</v>
      </c>
      <c r="G230" s="31" t="s">
        <v>247</v>
      </c>
      <c r="H230" s="32">
        <v>0</v>
      </c>
      <c r="I230" s="31"/>
      <c r="J230" s="33">
        <v>46023</v>
      </c>
      <c r="K230" s="32">
        <v>0</v>
      </c>
      <c r="L230" s="32">
        <v>0</v>
      </c>
      <c r="M230" s="32">
        <v>0</v>
      </c>
      <c r="N230" s="31" t="s">
        <v>248</v>
      </c>
      <c r="O230" s="34">
        <v>46129.698055555556</v>
      </c>
      <c r="P230" s="35" t="s">
        <v>87</v>
      </c>
      <c r="Q230" s="35" t="s">
        <v>70</v>
      </c>
      <c r="R230" s="33">
        <v>46063</v>
      </c>
      <c r="S230" s="30" t="s">
        <v>21</v>
      </c>
      <c r="T230" s="36">
        <v>229</v>
      </c>
      <c r="U230" s="30" t="s">
        <v>74</v>
      </c>
      <c r="V230" s="30" t="s">
        <v>73</v>
      </c>
    </row>
    <row r="231" spans="1:22" ht="45" x14ac:dyDescent="0.25">
      <c r="A231" s="30" t="s">
        <v>245</v>
      </c>
      <c r="B231" s="30" t="s">
        <v>177</v>
      </c>
      <c r="C231" s="30" t="s">
        <v>143</v>
      </c>
      <c r="D231" s="31" t="s">
        <v>246</v>
      </c>
      <c r="E231" s="30" t="s">
        <v>145</v>
      </c>
      <c r="F231" s="30" t="s">
        <v>18</v>
      </c>
      <c r="G231" s="31" t="s">
        <v>247</v>
      </c>
      <c r="H231" s="32">
        <v>0</v>
      </c>
      <c r="I231" s="31"/>
      <c r="J231" s="33">
        <v>46054</v>
      </c>
      <c r="K231" s="32">
        <v>0</v>
      </c>
      <c r="L231" s="32">
        <v>0</v>
      </c>
      <c r="M231" s="32">
        <v>0</v>
      </c>
      <c r="N231" s="31" t="s">
        <v>248</v>
      </c>
      <c r="O231" s="34">
        <v>46129.698182870372</v>
      </c>
      <c r="P231" s="35" t="s">
        <v>87</v>
      </c>
      <c r="Q231" s="35" t="s">
        <v>70</v>
      </c>
      <c r="R231" s="33">
        <v>46094</v>
      </c>
      <c r="S231" s="30" t="s">
        <v>21</v>
      </c>
      <c r="T231" s="36">
        <v>230</v>
      </c>
      <c r="U231" s="30" t="s">
        <v>74</v>
      </c>
      <c r="V231" s="30" t="s">
        <v>73</v>
      </c>
    </row>
    <row r="232" spans="1:22" ht="45" x14ac:dyDescent="0.25">
      <c r="A232" s="30" t="s">
        <v>245</v>
      </c>
      <c r="B232" s="30" t="s">
        <v>177</v>
      </c>
      <c r="C232" s="30" t="s">
        <v>143</v>
      </c>
      <c r="D232" s="31" t="s">
        <v>246</v>
      </c>
      <c r="E232" s="30" t="s">
        <v>145</v>
      </c>
      <c r="F232" s="30" t="s">
        <v>18</v>
      </c>
      <c r="G232" s="31" t="s">
        <v>247</v>
      </c>
      <c r="H232" s="32">
        <v>0</v>
      </c>
      <c r="I232" s="31"/>
      <c r="J232" s="33">
        <v>46082</v>
      </c>
      <c r="K232" s="32">
        <v>0</v>
      </c>
      <c r="L232" s="32">
        <v>0</v>
      </c>
      <c r="M232" s="32">
        <v>0</v>
      </c>
      <c r="N232" s="31" t="s">
        <v>248</v>
      </c>
      <c r="O232" s="34">
        <v>46129.698287037034</v>
      </c>
      <c r="P232" s="35" t="s">
        <v>87</v>
      </c>
      <c r="Q232" s="35" t="s">
        <v>70</v>
      </c>
      <c r="R232" s="33">
        <v>46122</v>
      </c>
      <c r="S232" s="30" t="s">
        <v>21</v>
      </c>
      <c r="T232" s="36">
        <v>231</v>
      </c>
      <c r="U232" s="30" t="s">
        <v>74</v>
      </c>
      <c r="V232" s="30" t="s">
        <v>73</v>
      </c>
    </row>
    <row r="233" spans="1:22" ht="75" x14ac:dyDescent="0.25">
      <c r="A233" s="30" t="s">
        <v>245</v>
      </c>
      <c r="B233" s="30" t="s">
        <v>177</v>
      </c>
      <c r="C233" s="30" t="s">
        <v>143</v>
      </c>
      <c r="D233" s="31" t="s">
        <v>246</v>
      </c>
      <c r="E233" s="30" t="s">
        <v>145</v>
      </c>
      <c r="F233" s="30" t="s">
        <v>18</v>
      </c>
      <c r="G233" s="31" t="s">
        <v>247</v>
      </c>
      <c r="H233" s="32">
        <v>0</v>
      </c>
      <c r="I233" s="31"/>
      <c r="J233" s="33">
        <v>46113</v>
      </c>
      <c r="K233" s="32">
        <v>0</v>
      </c>
      <c r="L233" s="32">
        <v>0</v>
      </c>
      <c r="M233" s="32">
        <v>0</v>
      </c>
      <c r="N233" s="31" t="s">
        <v>147</v>
      </c>
      <c r="O233" s="34">
        <v>46220.746168981481</v>
      </c>
      <c r="P233" s="35" t="s">
        <v>76</v>
      </c>
      <c r="Q233" s="35" t="s">
        <v>79</v>
      </c>
      <c r="R233" s="33">
        <v>46153</v>
      </c>
      <c r="S233" s="30" t="s">
        <v>21</v>
      </c>
      <c r="T233" s="36">
        <v>232</v>
      </c>
      <c r="U233" s="30" t="s">
        <v>74</v>
      </c>
      <c r="V233" s="30" t="s">
        <v>73</v>
      </c>
    </row>
    <row r="234" spans="1:22" ht="75" x14ac:dyDescent="0.25">
      <c r="A234" s="30" t="s">
        <v>245</v>
      </c>
      <c r="B234" s="30" t="s">
        <v>177</v>
      </c>
      <c r="C234" s="30" t="s">
        <v>143</v>
      </c>
      <c r="D234" s="31" t="s">
        <v>246</v>
      </c>
      <c r="E234" s="30" t="s">
        <v>145</v>
      </c>
      <c r="F234" s="30" t="s">
        <v>18</v>
      </c>
      <c r="G234" s="31" t="s">
        <v>247</v>
      </c>
      <c r="H234" s="32">
        <v>0</v>
      </c>
      <c r="I234" s="31"/>
      <c r="J234" s="33">
        <v>46143</v>
      </c>
      <c r="K234" s="32">
        <v>0</v>
      </c>
      <c r="L234" s="32">
        <v>0</v>
      </c>
      <c r="M234" s="32">
        <v>0</v>
      </c>
      <c r="N234" s="31" t="s">
        <v>147</v>
      </c>
      <c r="O234" s="34">
        <v>46220.746481481481</v>
      </c>
      <c r="P234" s="35" t="s">
        <v>76</v>
      </c>
      <c r="Q234" s="35" t="s">
        <v>79</v>
      </c>
      <c r="R234" s="33">
        <v>46183</v>
      </c>
      <c r="S234" s="30" t="s">
        <v>21</v>
      </c>
      <c r="T234" s="36">
        <v>233</v>
      </c>
      <c r="U234" s="30" t="s">
        <v>74</v>
      </c>
      <c r="V234" s="30" t="s">
        <v>73</v>
      </c>
    </row>
    <row r="235" spans="1:22" ht="75" x14ac:dyDescent="0.25">
      <c r="A235" s="30" t="s">
        <v>245</v>
      </c>
      <c r="B235" s="30" t="s">
        <v>177</v>
      </c>
      <c r="C235" s="30" t="s">
        <v>143</v>
      </c>
      <c r="D235" s="31" t="s">
        <v>246</v>
      </c>
      <c r="E235" s="30" t="s">
        <v>145</v>
      </c>
      <c r="F235" s="30" t="s">
        <v>18</v>
      </c>
      <c r="G235" s="31" t="s">
        <v>247</v>
      </c>
      <c r="H235" s="32">
        <v>0</v>
      </c>
      <c r="I235" s="31"/>
      <c r="J235" s="33">
        <v>46174</v>
      </c>
      <c r="K235" s="32">
        <v>0</v>
      </c>
      <c r="L235" s="32">
        <v>0</v>
      </c>
      <c r="M235" s="32">
        <v>0</v>
      </c>
      <c r="N235" s="31" t="s">
        <v>147</v>
      </c>
      <c r="O235" s="34">
        <v>46220.746666666666</v>
      </c>
      <c r="P235" s="35" t="s">
        <v>76</v>
      </c>
      <c r="Q235" s="35" t="s">
        <v>79</v>
      </c>
      <c r="R235" s="33">
        <v>46214</v>
      </c>
      <c r="S235" s="30" t="s">
        <v>21</v>
      </c>
      <c r="T235" s="36">
        <v>234</v>
      </c>
      <c r="U235" s="30" t="s">
        <v>74</v>
      </c>
      <c r="V235" s="30" t="s">
        <v>73</v>
      </c>
    </row>
    <row r="236" spans="1:22" ht="30" x14ac:dyDescent="0.25">
      <c r="A236" s="30" t="s">
        <v>245</v>
      </c>
      <c r="B236" s="30" t="s">
        <v>177</v>
      </c>
      <c r="C236" s="30" t="s">
        <v>143</v>
      </c>
      <c r="D236" s="31" t="s">
        <v>246</v>
      </c>
      <c r="E236" s="30" t="s">
        <v>145</v>
      </c>
      <c r="F236" s="30" t="s">
        <v>18</v>
      </c>
      <c r="G236" s="31" t="s">
        <v>247</v>
      </c>
      <c r="H236" s="32">
        <v>0</v>
      </c>
      <c r="I236" s="31"/>
      <c r="J236" s="33">
        <v>46204</v>
      </c>
      <c r="K236" s="32">
        <v>0</v>
      </c>
      <c r="L236" s="32"/>
      <c r="M236" s="32">
        <v>0</v>
      </c>
      <c r="N236" s="31"/>
      <c r="O236" s="34">
        <v>46119.80976851852</v>
      </c>
      <c r="P236" s="35" t="s">
        <v>72</v>
      </c>
      <c r="Q236" s="35" t="s">
        <v>79</v>
      </c>
      <c r="R236" s="33">
        <v>46244</v>
      </c>
      <c r="S236" s="30" t="s">
        <v>21</v>
      </c>
      <c r="T236" s="36">
        <v>235</v>
      </c>
      <c r="U236" s="30" t="s">
        <v>74</v>
      </c>
      <c r="V236" s="30" t="s">
        <v>73</v>
      </c>
    </row>
    <row r="237" spans="1:22" ht="30" x14ac:dyDescent="0.25">
      <c r="A237" s="30" t="s">
        <v>245</v>
      </c>
      <c r="B237" s="30" t="s">
        <v>177</v>
      </c>
      <c r="C237" s="30" t="s">
        <v>143</v>
      </c>
      <c r="D237" s="31" t="s">
        <v>246</v>
      </c>
      <c r="E237" s="30" t="s">
        <v>145</v>
      </c>
      <c r="F237" s="30" t="s">
        <v>18</v>
      </c>
      <c r="G237" s="31" t="s">
        <v>247</v>
      </c>
      <c r="H237" s="32">
        <v>0</v>
      </c>
      <c r="I237" s="31"/>
      <c r="J237" s="33">
        <v>46235</v>
      </c>
      <c r="K237" s="32">
        <v>0</v>
      </c>
      <c r="L237" s="32"/>
      <c r="M237" s="32">
        <v>0</v>
      </c>
      <c r="N237" s="31"/>
      <c r="O237" s="34">
        <v>46119.80976851852</v>
      </c>
      <c r="P237" s="35" t="s">
        <v>72</v>
      </c>
      <c r="Q237" s="35" t="s">
        <v>79</v>
      </c>
      <c r="R237" s="33">
        <v>46275</v>
      </c>
      <c r="S237" s="30" t="s">
        <v>21</v>
      </c>
      <c r="T237" s="36">
        <v>236</v>
      </c>
      <c r="U237" s="30" t="s">
        <v>74</v>
      </c>
      <c r="V237" s="30" t="s">
        <v>73</v>
      </c>
    </row>
    <row r="238" spans="1:22" ht="30" x14ac:dyDescent="0.25">
      <c r="A238" s="30" t="s">
        <v>245</v>
      </c>
      <c r="B238" s="30" t="s">
        <v>177</v>
      </c>
      <c r="C238" s="30" t="s">
        <v>143</v>
      </c>
      <c r="D238" s="31" t="s">
        <v>246</v>
      </c>
      <c r="E238" s="30" t="s">
        <v>145</v>
      </c>
      <c r="F238" s="30" t="s">
        <v>18</v>
      </c>
      <c r="G238" s="31" t="s">
        <v>247</v>
      </c>
      <c r="H238" s="32">
        <v>0</v>
      </c>
      <c r="I238" s="31"/>
      <c r="J238" s="33">
        <v>46266</v>
      </c>
      <c r="K238" s="32">
        <v>0</v>
      </c>
      <c r="L238" s="32"/>
      <c r="M238" s="32">
        <v>0</v>
      </c>
      <c r="N238" s="31"/>
      <c r="O238" s="34">
        <v>46119.80978009259</v>
      </c>
      <c r="P238" s="35" t="s">
        <v>72</v>
      </c>
      <c r="Q238" s="35" t="s">
        <v>79</v>
      </c>
      <c r="R238" s="33">
        <v>46306</v>
      </c>
      <c r="S238" s="30" t="s">
        <v>21</v>
      </c>
      <c r="T238" s="36">
        <v>237</v>
      </c>
      <c r="U238" s="30" t="s">
        <v>74</v>
      </c>
      <c r="V238" s="30" t="s">
        <v>73</v>
      </c>
    </row>
    <row r="239" spans="1:22" ht="30" x14ac:dyDescent="0.25">
      <c r="A239" s="30" t="s">
        <v>245</v>
      </c>
      <c r="B239" s="30" t="s">
        <v>177</v>
      </c>
      <c r="C239" s="30" t="s">
        <v>143</v>
      </c>
      <c r="D239" s="31" t="s">
        <v>246</v>
      </c>
      <c r="E239" s="30" t="s">
        <v>145</v>
      </c>
      <c r="F239" s="30" t="s">
        <v>18</v>
      </c>
      <c r="G239" s="31" t="s">
        <v>247</v>
      </c>
      <c r="H239" s="32">
        <v>0</v>
      </c>
      <c r="I239" s="31"/>
      <c r="J239" s="33">
        <v>46296</v>
      </c>
      <c r="K239" s="32">
        <v>0</v>
      </c>
      <c r="L239" s="32"/>
      <c r="M239" s="32">
        <v>0</v>
      </c>
      <c r="N239" s="31"/>
      <c r="O239" s="34">
        <v>46119.80978009259</v>
      </c>
      <c r="P239" s="35" t="s">
        <v>72</v>
      </c>
      <c r="Q239" s="35" t="s">
        <v>79</v>
      </c>
      <c r="R239" s="33">
        <v>46336</v>
      </c>
      <c r="S239" s="30" t="s">
        <v>21</v>
      </c>
      <c r="T239" s="36">
        <v>238</v>
      </c>
      <c r="U239" s="30" t="s">
        <v>74</v>
      </c>
      <c r="V239" s="30" t="s">
        <v>73</v>
      </c>
    </row>
    <row r="240" spans="1:22" ht="30" x14ac:dyDescent="0.25">
      <c r="A240" s="30" t="s">
        <v>245</v>
      </c>
      <c r="B240" s="30" t="s">
        <v>177</v>
      </c>
      <c r="C240" s="30" t="s">
        <v>143</v>
      </c>
      <c r="D240" s="31" t="s">
        <v>246</v>
      </c>
      <c r="E240" s="30" t="s">
        <v>145</v>
      </c>
      <c r="F240" s="30" t="s">
        <v>18</v>
      </c>
      <c r="G240" s="31" t="s">
        <v>247</v>
      </c>
      <c r="H240" s="32">
        <v>0</v>
      </c>
      <c r="I240" s="31"/>
      <c r="J240" s="33">
        <v>46327</v>
      </c>
      <c r="K240" s="32">
        <v>0</v>
      </c>
      <c r="L240" s="32"/>
      <c r="M240" s="32">
        <v>0</v>
      </c>
      <c r="N240" s="31"/>
      <c r="O240" s="34">
        <v>46119.80978009259</v>
      </c>
      <c r="P240" s="35" t="s">
        <v>72</v>
      </c>
      <c r="Q240" s="35" t="s">
        <v>79</v>
      </c>
      <c r="R240" s="33">
        <v>46367</v>
      </c>
      <c r="S240" s="30" t="s">
        <v>21</v>
      </c>
      <c r="T240" s="36">
        <v>239</v>
      </c>
      <c r="U240" s="30" t="s">
        <v>74</v>
      </c>
      <c r="V240" s="30" t="s">
        <v>73</v>
      </c>
    </row>
    <row r="241" spans="1:22" ht="30" x14ac:dyDescent="0.25">
      <c r="A241" s="30" t="s">
        <v>245</v>
      </c>
      <c r="B241" s="30" t="s">
        <v>177</v>
      </c>
      <c r="C241" s="30" t="s">
        <v>143</v>
      </c>
      <c r="D241" s="31" t="s">
        <v>246</v>
      </c>
      <c r="E241" s="30" t="s">
        <v>145</v>
      </c>
      <c r="F241" s="30" t="s">
        <v>18</v>
      </c>
      <c r="G241" s="31" t="s">
        <v>247</v>
      </c>
      <c r="H241" s="32">
        <v>3.3E-3</v>
      </c>
      <c r="I241" s="31"/>
      <c r="J241" s="33">
        <v>46357</v>
      </c>
      <c r="K241" s="32">
        <v>0</v>
      </c>
      <c r="L241" s="32"/>
      <c r="M241" s="32">
        <v>0</v>
      </c>
      <c r="N241" s="31"/>
      <c r="O241" s="34">
        <v>46119.810393518521</v>
      </c>
      <c r="P241" s="35" t="s">
        <v>72</v>
      </c>
      <c r="Q241" s="35" t="s">
        <v>79</v>
      </c>
      <c r="R241" s="33">
        <v>46397</v>
      </c>
      <c r="S241" s="30" t="s">
        <v>21</v>
      </c>
      <c r="T241" s="36">
        <v>240</v>
      </c>
      <c r="U241" s="30" t="s">
        <v>74</v>
      </c>
      <c r="V241" s="30" t="s">
        <v>73</v>
      </c>
    </row>
    <row r="242" spans="1:22" ht="165" hidden="1" x14ac:dyDescent="0.25">
      <c r="A242" s="30" t="s">
        <v>249</v>
      </c>
      <c r="B242" s="30" t="s">
        <v>177</v>
      </c>
      <c r="C242" s="30" t="s">
        <v>143</v>
      </c>
      <c r="D242" s="31" t="s">
        <v>250</v>
      </c>
      <c r="E242" s="30" t="s">
        <v>67</v>
      </c>
      <c r="F242" s="30" t="s">
        <v>18</v>
      </c>
      <c r="G242" s="31" t="s">
        <v>251</v>
      </c>
      <c r="H242" s="32">
        <v>0</v>
      </c>
      <c r="I242" s="31"/>
      <c r="J242" s="33">
        <v>46023</v>
      </c>
      <c r="K242" s="32">
        <v>0</v>
      </c>
      <c r="L242" s="32">
        <v>0</v>
      </c>
      <c r="M242" s="32">
        <v>0</v>
      </c>
      <c r="N242" s="31" t="s">
        <v>252</v>
      </c>
      <c r="O242" s="34">
        <v>46129.698645833334</v>
      </c>
      <c r="P242" s="35" t="s">
        <v>87</v>
      </c>
      <c r="Q242" s="35" t="s">
        <v>70</v>
      </c>
      <c r="R242" s="33">
        <v>46063</v>
      </c>
      <c r="S242" s="30" t="s">
        <v>85</v>
      </c>
      <c r="T242" s="36">
        <v>241</v>
      </c>
      <c r="U242" s="30" t="s">
        <v>74</v>
      </c>
      <c r="V242" s="30" t="s">
        <v>73</v>
      </c>
    </row>
    <row r="243" spans="1:22" ht="165" hidden="1" x14ac:dyDescent="0.25">
      <c r="A243" s="30" t="s">
        <v>249</v>
      </c>
      <c r="B243" s="30" t="s">
        <v>177</v>
      </c>
      <c r="C243" s="30" t="s">
        <v>143</v>
      </c>
      <c r="D243" s="31" t="s">
        <v>250</v>
      </c>
      <c r="E243" s="30" t="s">
        <v>67</v>
      </c>
      <c r="F243" s="30" t="s">
        <v>18</v>
      </c>
      <c r="G243" s="31" t="s">
        <v>251</v>
      </c>
      <c r="H243" s="32">
        <v>0</v>
      </c>
      <c r="I243" s="31"/>
      <c r="J243" s="33">
        <v>46054</v>
      </c>
      <c r="K243" s="32">
        <v>0</v>
      </c>
      <c r="L243" s="32">
        <v>0</v>
      </c>
      <c r="M243" s="32">
        <v>0</v>
      </c>
      <c r="N243" s="31" t="s">
        <v>253</v>
      </c>
      <c r="O243" s="34">
        <v>46129.698495370372</v>
      </c>
      <c r="P243" s="35" t="s">
        <v>87</v>
      </c>
      <c r="Q243" s="35" t="s">
        <v>70</v>
      </c>
      <c r="R243" s="33">
        <v>46094</v>
      </c>
      <c r="S243" s="30" t="s">
        <v>85</v>
      </c>
      <c r="T243" s="36">
        <v>242</v>
      </c>
      <c r="U243" s="30" t="s">
        <v>74</v>
      </c>
      <c r="V243" s="30" t="s">
        <v>73</v>
      </c>
    </row>
    <row r="244" spans="1:22" ht="165" hidden="1" x14ac:dyDescent="0.25">
      <c r="A244" s="30" t="s">
        <v>249</v>
      </c>
      <c r="B244" s="30" t="s">
        <v>177</v>
      </c>
      <c r="C244" s="30" t="s">
        <v>143</v>
      </c>
      <c r="D244" s="31" t="s">
        <v>250</v>
      </c>
      <c r="E244" s="30" t="s">
        <v>67</v>
      </c>
      <c r="F244" s="30" t="s">
        <v>18</v>
      </c>
      <c r="G244" s="31" t="s">
        <v>251</v>
      </c>
      <c r="H244" s="32">
        <v>0</v>
      </c>
      <c r="I244" s="31"/>
      <c r="J244" s="33">
        <v>46082</v>
      </c>
      <c r="K244" s="32">
        <v>0</v>
      </c>
      <c r="L244" s="32">
        <v>0</v>
      </c>
      <c r="M244" s="32">
        <v>0</v>
      </c>
      <c r="N244" s="31" t="s">
        <v>254</v>
      </c>
      <c r="O244" s="34">
        <v>46129.698391203703</v>
      </c>
      <c r="P244" s="35" t="s">
        <v>87</v>
      </c>
      <c r="Q244" s="35" t="s">
        <v>70</v>
      </c>
      <c r="R244" s="33">
        <v>46122</v>
      </c>
      <c r="S244" s="30" t="s">
        <v>85</v>
      </c>
      <c r="T244" s="36">
        <v>243</v>
      </c>
      <c r="U244" s="30" t="s">
        <v>74</v>
      </c>
      <c r="V244" s="30" t="s">
        <v>73</v>
      </c>
    </row>
    <row r="245" spans="1:22" ht="165" hidden="1" x14ac:dyDescent="0.25">
      <c r="A245" s="30" t="s">
        <v>249</v>
      </c>
      <c r="B245" s="30" t="s">
        <v>177</v>
      </c>
      <c r="C245" s="30" t="s">
        <v>143</v>
      </c>
      <c r="D245" s="31" t="s">
        <v>250</v>
      </c>
      <c r="E245" s="30" t="s">
        <v>67</v>
      </c>
      <c r="F245" s="30" t="s">
        <v>18</v>
      </c>
      <c r="G245" s="31" t="s">
        <v>251</v>
      </c>
      <c r="H245" s="32">
        <v>0</v>
      </c>
      <c r="I245" s="31"/>
      <c r="J245" s="33">
        <v>46113</v>
      </c>
      <c r="K245" s="32">
        <v>0</v>
      </c>
      <c r="L245" s="32">
        <v>0</v>
      </c>
      <c r="M245" s="32">
        <v>0</v>
      </c>
      <c r="N245" s="31" t="s">
        <v>255</v>
      </c>
      <c r="O245" s="34">
        <v>46220.479270833333</v>
      </c>
      <c r="P245" s="35" t="s">
        <v>76</v>
      </c>
      <c r="Q245" s="35" t="s">
        <v>79</v>
      </c>
      <c r="R245" s="33">
        <v>46153</v>
      </c>
      <c r="S245" s="30" t="s">
        <v>85</v>
      </c>
      <c r="T245" s="36">
        <v>244</v>
      </c>
      <c r="U245" s="30" t="s">
        <v>74</v>
      </c>
      <c r="V245" s="30" t="s">
        <v>73</v>
      </c>
    </row>
    <row r="246" spans="1:22" ht="165" hidden="1" x14ac:dyDescent="0.25">
      <c r="A246" s="30" t="s">
        <v>249</v>
      </c>
      <c r="B246" s="30" t="s">
        <v>177</v>
      </c>
      <c r="C246" s="30" t="s">
        <v>143</v>
      </c>
      <c r="D246" s="31" t="s">
        <v>250</v>
      </c>
      <c r="E246" s="30" t="s">
        <v>67</v>
      </c>
      <c r="F246" s="30" t="s">
        <v>18</v>
      </c>
      <c r="G246" s="31" t="s">
        <v>251</v>
      </c>
      <c r="H246" s="32">
        <v>0</v>
      </c>
      <c r="I246" s="31"/>
      <c r="J246" s="33">
        <v>46143</v>
      </c>
      <c r="K246" s="32">
        <v>0</v>
      </c>
      <c r="L246" s="32">
        <v>0</v>
      </c>
      <c r="M246" s="32">
        <v>0</v>
      </c>
      <c r="N246" s="31" t="s">
        <v>255</v>
      </c>
      <c r="O246" s="34">
        <v>46220.479409722226</v>
      </c>
      <c r="P246" s="35" t="s">
        <v>76</v>
      </c>
      <c r="Q246" s="35" t="s">
        <v>79</v>
      </c>
      <c r="R246" s="33">
        <v>46183</v>
      </c>
      <c r="S246" s="30" t="s">
        <v>85</v>
      </c>
      <c r="T246" s="36">
        <v>245</v>
      </c>
      <c r="U246" s="30" t="s">
        <v>74</v>
      </c>
      <c r="V246" s="30" t="s">
        <v>73</v>
      </c>
    </row>
    <row r="247" spans="1:22" ht="165" hidden="1" x14ac:dyDescent="0.25">
      <c r="A247" s="30" t="s">
        <v>249</v>
      </c>
      <c r="B247" s="30" t="s">
        <v>177</v>
      </c>
      <c r="C247" s="30" t="s">
        <v>143</v>
      </c>
      <c r="D247" s="31" t="s">
        <v>250</v>
      </c>
      <c r="E247" s="30" t="s">
        <v>67</v>
      </c>
      <c r="F247" s="30" t="s">
        <v>18</v>
      </c>
      <c r="G247" s="31" t="s">
        <v>251</v>
      </c>
      <c r="H247" s="32">
        <v>1</v>
      </c>
      <c r="I247" s="31"/>
      <c r="J247" s="33">
        <v>46174</v>
      </c>
      <c r="K247" s="32">
        <v>1</v>
      </c>
      <c r="L247" s="32">
        <v>1</v>
      </c>
      <c r="M247" s="32">
        <v>1</v>
      </c>
      <c r="N247" s="31" t="s">
        <v>256</v>
      </c>
      <c r="O247" s="34">
        <v>46220.800011574072</v>
      </c>
      <c r="P247" s="35" t="s">
        <v>76</v>
      </c>
      <c r="Q247" s="35" t="s">
        <v>79</v>
      </c>
      <c r="R247" s="33">
        <v>46214</v>
      </c>
      <c r="S247" s="30" t="s">
        <v>85</v>
      </c>
      <c r="T247" s="36">
        <v>246</v>
      </c>
      <c r="U247" s="30" t="s">
        <v>74</v>
      </c>
      <c r="V247" s="30" t="s">
        <v>73</v>
      </c>
    </row>
    <row r="248" spans="1:22" ht="165" hidden="1" x14ac:dyDescent="0.25">
      <c r="A248" s="30" t="s">
        <v>249</v>
      </c>
      <c r="B248" s="30" t="s">
        <v>177</v>
      </c>
      <c r="C248" s="30" t="s">
        <v>143</v>
      </c>
      <c r="D248" s="31" t="s">
        <v>250</v>
      </c>
      <c r="E248" s="30" t="s">
        <v>67</v>
      </c>
      <c r="F248" s="30" t="s">
        <v>18</v>
      </c>
      <c r="G248" s="31" t="s">
        <v>251</v>
      </c>
      <c r="H248" s="32">
        <v>1</v>
      </c>
      <c r="I248" s="31"/>
      <c r="J248" s="33">
        <v>46204</v>
      </c>
      <c r="K248" s="32">
        <v>0</v>
      </c>
      <c r="L248" s="32"/>
      <c r="M248" s="32">
        <v>0</v>
      </c>
      <c r="N248" s="31"/>
      <c r="O248" s="34">
        <v>46104.639166666668</v>
      </c>
      <c r="P248" s="35" t="s">
        <v>72</v>
      </c>
      <c r="Q248" s="35" t="s">
        <v>79</v>
      </c>
      <c r="R248" s="33">
        <v>46244</v>
      </c>
      <c r="S248" s="30" t="s">
        <v>85</v>
      </c>
      <c r="T248" s="36">
        <v>247</v>
      </c>
      <c r="U248" s="30" t="s">
        <v>74</v>
      </c>
      <c r="V248" s="30" t="s">
        <v>73</v>
      </c>
    </row>
    <row r="249" spans="1:22" ht="165" hidden="1" x14ac:dyDescent="0.25">
      <c r="A249" s="30" t="s">
        <v>249</v>
      </c>
      <c r="B249" s="30" t="s">
        <v>177</v>
      </c>
      <c r="C249" s="30" t="s">
        <v>143</v>
      </c>
      <c r="D249" s="31" t="s">
        <v>250</v>
      </c>
      <c r="E249" s="30" t="s">
        <v>67</v>
      </c>
      <c r="F249" s="30" t="s">
        <v>18</v>
      </c>
      <c r="G249" s="31" t="s">
        <v>251</v>
      </c>
      <c r="H249" s="32">
        <v>1</v>
      </c>
      <c r="I249" s="31"/>
      <c r="J249" s="33">
        <v>46235</v>
      </c>
      <c r="K249" s="32">
        <v>0</v>
      </c>
      <c r="L249" s="32"/>
      <c r="M249" s="32">
        <v>0</v>
      </c>
      <c r="N249" s="31"/>
      <c r="O249" s="34">
        <v>46104.639166666668</v>
      </c>
      <c r="P249" s="35" t="s">
        <v>72</v>
      </c>
      <c r="Q249" s="35" t="s">
        <v>79</v>
      </c>
      <c r="R249" s="33">
        <v>46275</v>
      </c>
      <c r="S249" s="30" t="s">
        <v>85</v>
      </c>
      <c r="T249" s="36">
        <v>248</v>
      </c>
      <c r="U249" s="30" t="s">
        <v>74</v>
      </c>
      <c r="V249" s="30" t="s">
        <v>73</v>
      </c>
    </row>
    <row r="250" spans="1:22" ht="165" hidden="1" x14ac:dyDescent="0.25">
      <c r="A250" s="30" t="s">
        <v>249</v>
      </c>
      <c r="B250" s="30" t="s">
        <v>177</v>
      </c>
      <c r="C250" s="30" t="s">
        <v>143</v>
      </c>
      <c r="D250" s="31" t="s">
        <v>250</v>
      </c>
      <c r="E250" s="30" t="s">
        <v>67</v>
      </c>
      <c r="F250" s="30" t="s">
        <v>18</v>
      </c>
      <c r="G250" s="31" t="s">
        <v>251</v>
      </c>
      <c r="H250" s="32">
        <v>1</v>
      </c>
      <c r="I250" s="31"/>
      <c r="J250" s="33">
        <v>46266</v>
      </c>
      <c r="K250" s="32">
        <v>0</v>
      </c>
      <c r="L250" s="32"/>
      <c r="M250" s="32">
        <v>0</v>
      </c>
      <c r="N250" s="31"/>
      <c r="O250" s="34">
        <v>46104.639166666668</v>
      </c>
      <c r="P250" s="35" t="s">
        <v>72</v>
      </c>
      <c r="Q250" s="35" t="s">
        <v>79</v>
      </c>
      <c r="R250" s="33">
        <v>46306</v>
      </c>
      <c r="S250" s="30" t="s">
        <v>85</v>
      </c>
      <c r="T250" s="36">
        <v>249</v>
      </c>
      <c r="U250" s="30" t="s">
        <v>74</v>
      </c>
      <c r="V250" s="30" t="s">
        <v>73</v>
      </c>
    </row>
    <row r="251" spans="1:22" ht="165" hidden="1" x14ac:dyDescent="0.25">
      <c r="A251" s="30" t="s">
        <v>249</v>
      </c>
      <c r="B251" s="30" t="s">
        <v>177</v>
      </c>
      <c r="C251" s="30" t="s">
        <v>143</v>
      </c>
      <c r="D251" s="31" t="s">
        <v>250</v>
      </c>
      <c r="E251" s="30" t="s">
        <v>67</v>
      </c>
      <c r="F251" s="30" t="s">
        <v>18</v>
      </c>
      <c r="G251" s="31" t="s">
        <v>251</v>
      </c>
      <c r="H251" s="32">
        <v>1</v>
      </c>
      <c r="I251" s="31"/>
      <c r="J251" s="33">
        <v>46296</v>
      </c>
      <c r="K251" s="32">
        <v>0</v>
      </c>
      <c r="L251" s="32"/>
      <c r="M251" s="32">
        <v>0</v>
      </c>
      <c r="N251" s="31"/>
      <c r="O251" s="34">
        <v>46104.639166666668</v>
      </c>
      <c r="P251" s="35" t="s">
        <v>72</v>
      </c>
      <c r="Q251" s="35" t="s">
        <v>79</v>
      </c>
      <c r="R251" s="33">
        <v>46336</v>
      </c>
      <c r="S251" s="30" t="s">
        <v>85</v>
      </c>
      <c r="T251" s="36">
        <v>250</v>
      </c>
      <c r="U251" s="30" t="s">
        <v>74</v>
      </c>
      <c r="V251" s="30" t="s">
        <v>73</v>
      </c>
    </row>
    <row r="252" spans="1:22" ht="165" hidden="1" x14ac:dyDescent="0.25">
      <c r="A252" s="30" t="s">
        <v>249</v>
      </c>
      <c r="B252" s="30" t="s">
        <v>177</v>
      </c>
      <c r="C252" s="30" t="s">
        <v>143</v>
      </c>
      <c r="D252" s="31" t="s">
        <v>250</v>
      </c>
      <c r="E252" s="30" t="s">
        <v>67</v>
      </c>
      <c r="F252" s="30" t="s">
        <v>18</v>
      </c>
      <c r="G252" s="31" t="s">
        <v>251</v>
      </c>
      <c r="H252" s="32">
        <v>1</v>
      </c>
      <c r="I252" s="31"/>
      <c r="J252" s="33">
        <v>46327</v>
      </c>
      <c r="K252" s="32">
        <v>0</v>
      </c>
      <c r="L252" s="32"/>
      <c r="M252" s="32">
        <v>0</v>
      </c>
      <c r="N252" s="31"/>
      <c r="O252" s="34">
        <v>46104.639166666668</v>
      </c>
      <c r="P252" s="35" t="s">
        <v>72</v>
      </c>
      <c r="Q252" s="35" t="s">
        <v>79</v>
      </c>
      <c r="R252" s="33">
        <v>46367</v>
      </c>
      <c r="S252" s="30" t="s">
        <v>85</v>
      </c>
      <c r="T252" s="36">
        <v>251</v>
      </c>
      <c r="U252" s="30" t="s">
        <v>74</v>
      </c>
      <c r="V252" s="30" t="s">
        <v>73</v>
      </c>
    </row>
    <row r="253" spans="1:22" ht="165" hidden="1" x14ac:dyDescent="0.25">
      <c r="A253" s="30" t="s">
        <v>249</v>
      </c>
      <c r="B253" s="30" t="s">
        <v>177</v>
      </c>
      <c r="C253" s="30" t="s">
        <v>143</v>
      </c>
      <c r="D253" s="31" t="s">
        <v>250</v>
      </c>
      <c r="E253" s="30" t="s">
        <v>67</v>
      </c>
      <c r="F253" s="30" t="s">
        <v>18</v>
      </c>
      <c r="G253" s="31" t="s">
        <v>251</v>
      </c>
      <c r="H253" s="32">
        <v>2</v>
      </c>
      <c r="I253" s="31"/>
      <c r="J253" s="33">
        <v>46357</v>
      </c>
      <c r="K253" s="32">
        <v>0</v>
      </c>
      <c r="L253" s="32"/>
      <c r="M253" s="32">
        <v>0</v>
      </c>
      <c r="N253" s="31"/>
      <c r="O253" s="34">
        <v>46104.639166666668</v>
      </c>
      <c r="P253" s="35" t="s">
        <v>72</v>
      </c>
      <c r="Q253" s="35" t="s">
        <v>79</v>
      </c>
      <c r="R253" s="33">
        <v>46397</v>
      </c>
      <c r="S253" s="30" t="s">
        <v>85</v>
      </c>
      <c r="T253" s="36">
        <v>252</v>
      </c>
      <c r="U253" s="30" t="s">
        <v>74</v>
      </c>
      <c r="V253" s="30" t="s">
        <v>73</v>
      </c>
    </row>
    <row r="254" spans="1:22" ht="75" hidden="1" x14ac:dyDescent="0.25">
      <c r="A254" s="30" t="s">
        <v>257</v>
      </c>
      <c r="B254" s="30" t="s">
        <v>177</v>
      </c>
      <c r="C254" s="30" t="s">
        <v>143</v>
      </c>
      <c r="D254" s="31" t="s">
        <v>258</v>
      </c>
      <c r="E254" s="30" t="s">
        <v>160</v>
      </c>
      <c r="F254" s="30" t="s">
        <v>22</v>
      </c>
      <c r="G254" s="31" t="s">
        <v>259</v>
      </c>
      <c r="H254" s="32">
        <v>0</v>
      </c>
      <c r="I254" s="31"/>
      <c r="J254" s="33">
        <v>46023</v>
      </c>
      <c r="K254" s="32">
        <v>1</v>
      </c>
      <c r="L254" s="32">
        <v>0</v>
      </c>
      <c r="M254" s="32">
        <v>0</v>
      </c>
      <c r="N254" s="31" t="s">
        <v>260</v>
      </c>
      <c r="O254" s="34">
        <v>46203.472291666665</v>
      </c>
      <c r="P254" s="35" t="s">
        <v>162</v>
      </c>
      <c r="Q254" s="35" t="s">
        <v>70</v>
      </c>
      <c r="R254" s="33">
        <v>46063</v>
      </c>
      <c r="S254" s="30" t="s">
        <v>21</v>
      </c>
      <c r="T254" s="36">
        <v>253</v>
      </c>
      <c r="U254" s="30" t="s">
        <v>74</v>
      </c>
      <c r="V254" s="30" t="s">
        <v>73</v>
      </c>
    </row>
    <row r="255" spans="1:22" ht="75" hidden="1" x14ac:dyDescent="0.25">
      <c r="A255" s="30" t="s">
        <v>257</v>
      </c>
      <c r="B255" s="30" t="s">
        <v>177</v>
      </c>
      <c r="C255" s="30" t="s">
        <v>143</v>
      </c>
      <c r="D255" s="31" t="s">
        <v>258</v>
      </c>
      <c r="E255" s="30" t="s">
        <v>160</v>
      </c>
      <c r="F255" s="30" t="s">
        <v>22</v>
      </c>
      <c r="G255" s="31" t="s">
        <v>259</v>
      </c>
      <c r="H255" s="32">
        <v>0</v>
      </c>
      <c r="I255" s="31"/>
      <c r="J255" s="33">
        <v>46054</v>
      </c>
      <c r="K255" s="32">
        <v>1</v>
      </c>
      <c r="L255" s="32">
        <v>0</v>
      </c>
      <c r="M255" s="32">
        <v>0</v>
      </c>
      <c r="N255" s="31" t="s">
        <v>260</v>
      </c>
      <c r="O255" s="34">
        <v>46204.509502314817</v>
      </c>
      <c r="P255" s="35" t="s">
        <v>261</v>
      </c>
      <c r="Q255" s="35" t="s">
        <v>79</v>
      </c>
      <c r="R255" s="33">
        <v>46094</v>
      </c>
      <c r="S255" s="30" t="s">
        <v>21</v>
      </c>
      <c r="T255" s="36">
        <v>254</v>
      </c>
      <c r="U255" s="30" t="s">
        <v>74</v>
      </c>
      <c r="V255" s="30" t="s">
        <v>73</v>
      </c>
    </row>
    <row r="256" spans="1:22" ht="75" hidden="1" x14ac:dyDescent="0.25">
      <c r="A256" s="30" t="s">
        <v>257</v>
      </c>
      <c r="B256" s="30" t="s">
        <v>177</v>
      </c>
      <c r="C256" s="30" t="s">
        <v>143</v>
      </c>
      <c r="D256" s="31" t="s">
        <v>258</v>
      </c>
      <c r="E256" s="30" t="s">
        <v>160</v>
      </c>
      <c r="F256" s="30" t="s">
        <v>22</v>
      </c>
      <c r="G256" s="31" t="s">
        <v>259</v>
      </c>
      <c r="H256" s="32">
        <v>0</v>
      </c>
      <c r="I256" s="31"/>
      <c r="J256" s="33">
        <v>46082</v>
      </c>
      <c r="K256" s="32">
        <v>1</v>
      </c>
      <c r="L256" s="32">
        <v>0</v>
      </c>
      <c r="M256" s="32">
        <v>0</v>
      </c>
      <c r="N256" s="31" t="s">
        <v>260</v>
      </c>
      <c r="O256" s="34">
        <v>46204.435057870367</v>
      </c>
      <c r="P256" s="35" t="s">
        <v>162</v>
      </c>
      <c r="Q256" s="35" t="s">
        <v>70</v>
      </c>
      <c r="R256" s="33">
        <v>46122</v>
      </c>
      <c r="S256" s="30" t="s">
        <v>21</v>
      </c>
      <c r="T256" s="36">
        <v>255</v>
      </c>
      <c r="U256" s="30" t="s">
        <v>74</v>
      </c>
      <c r="V256" s="30" t="s">
        <v>73</v>
      </c>
    </row>
    <row r="257" spans="1:22" ht="75" hidden="1" x14ac:dyDescent="0.25">
      <c r="A257" s="30" t="s">
        <v>257</v>
      </c>
      <c r="B257" s="30" t="s">
        <v>177</v>
      </c>
      <c r="C257" s="30" t="s">
        <v>143</v>
      </c>
      <c r="D257" s="31" t="s">
        <v>258</v>
      </c>
      <c r="E257" s="30" t="s">
        <v>160</v>
      </c>
      <c r="F257" s="30" t="s">
        <v>22</v>
      </c>
      <c r="G257" s="31" t="s">
        <v>259</v>
      </c>
      <c r="H257" s="32">
        <v>0</v>
      </c>
      <c r="I257" s="31"/>
      <c r="J257" s="33">
        <v>46113</v>
      </c>
      <c r="K257" s="32">
        <v>1</v>
      </c>
      <c r="L257" s="32">
        <v>0</v>
      </c>
      <c r="M257" s="32">
        <v>0</v>
      </c>
      <c r="N257" s="31" t="s">
        <v>262</v>
      </c>
      <c r="O257" s="34">
        <v>46204.509652777779</v>
      </c>
      <c r="P257" s="35" t="s">
        <v>162</v>
      </c>
      <c r="Q257" s="35" t="s">
        <v>70</v>
      </c>
      <c r="R257" s="33">
        <v>46153</v>
      </c>
      <c r="S257" s="30" t="s">
        <v>21</v>
      </c>
      <c r="T257" s="36">
        <v>256</v>
      </c>
      <c r="U257" s="30" t="s">
        <v>74</v>
      </c>
      <c r="V257" s="30" t="s">
        <v>73</v>
      </c>
    </row>
    <row r="258" spans="1:22" ht="150" hidden="1" x14ac:dyDescent="0.25">
      <c r="A258" s="30" t="s">
        <v>257</v>
      </c>
      <c r="B258" s="30" t="s">
        <v>177</v>
      </c>
      <c r="C258" s="30" t="s">
        <v>143</v>
      </c>
      <c r="D258" s="31" t="s">
        <v>258</v>
      </c>
      <c r="E258" s="30" t="s">
        <v>160</v>
      </c>
      <c r="F258" s="30" t="s">
        <v>22</v>
      </c>
      <c r="G258" s="31" t="s">
        <v>259</v>
      </c>
      <c r="H258" s="32">
        <v>0</v>
      </c>
      <c r="I258" s="31"/>
      <c r="J258" s="33">
        <v>46143</v>
      </c>
      <c r="K258" s="32">
        <v>1</v>
      </c>
      <c r="L258" s="32">
        <v>0</v>
      </c>
      <c r="M258" s="32">
        <v>0</v>
      </c>
      <c r="N258" s="31" t="s">
        <v>263</v>
      </c>
      <c r="O258" s="34">
        <v>46204.509733796294</v>
      </c>
      <c r="P258" s="35" t="s">
        <v>162</v>
      </c>
      <c r="Q258" s="35" t="s">
        <v>70</v>
      </c>
      <c r="R258" s="33">
        <v>46183</v>
      </c>
      <c r="S258" s="30" t="s">
        <v>21</v>
      </c>
      <c r="T258" s="36">
        <v>257</v>
      </c>
      <c r="U258" s="30" t="s">
        <v>74</v>
      </c>
      <c r="V258" s="30" t="s">
        <v>73</v>
      </c>
    </row>
    <row r="259" spans="1:22" ht="150" hidden="1" x14ac:dyDescent="0.25">
      <c r="A259" s="30" t="s">
        <v>257</v>
      </c>
      <c r="B259" s="30" t="s">
        <v>177</v>
      </c>
      <c r="C259" s="30" t="s">
        <v>143</v>
      </c>
      <c r="D259" s="31" t="s">
        <v>258</v>
      </c>
      <c r="E259" s="30" t="s">
        <v>160</v>
      </c>
      <c r="F259" s="30" t="s">
        <v>22</v>
      </c>
      <c r="G259" s="31" t="s">
        <v>259</v>
      </c>
      <c r="H259" s="32">
        <v>0</v>
      </c>
      <c r="I259" s="31"/>
      <c r="J259" s="33">
        <v>46174</v>
      </c>
      <c r="K259" s="32">
        <v>0</v>
      </c>
      <c r="L259" s="32">
        <v>0</v>
      </c>
      <c r="M259" s="32">
        <v>0</v>
      </c>
      <c r="N259" s="31" t="s">
        <v>264</v>
      </c>
      <c r="O259" s="34">
        <v>46220.666180555556</v>
      </c>
      <c r="P259" s="35" t="s">
        <v>265</v>
      </c>
      <c r="Q259" s="35" t="s">
        <v>70</v>
      </c>
      <c r="R259" s="33">
        <v>46214</v>
      </c>
      <c r="S259" s="30" t="s">
        <v>21</v>
      </c>
      <c r="T259" s="36">
        <v>258</v>
      </c>
      <c r="U259" s="30" t="s">
        <v>74</v>
      </c>
      <c r="V259" s="30" t="s">
        <v>73</v>
      </c>
    </row>
    <row r="260" spans="1:22" ht="75" hidden="1" x14ac:dyDescent="0.25">
      <c r="A260" s="30" t="s">
        <v>257</v>
      </c>
      <c r="B260" s="30" t="s">
        <v>177</v>
      </c>
      <c r="C260" s="30" t="s">
        <v>143</v>
      </c>
      <c r="D260" s="31" t="s">
        <v>258</v>
      </c>
      <c r="E260" s="30" t="s">
        <v>160</v>
      </c>
      <c r="F260" s="30" t="s">
        <v>22</v>
      </c>
      <c r="G260" s="31" t="s">
        <v>259</v>
      </c>
      <c r="H260" s="32">
        <v>0</v>
      </c>
      <c r="I260" s="31"/>
      <c r="J260" s="33">
        <v>46204</v>
      </c>
      <c r="K260" s="32">
        <v>0</v>
      </c>
      <c r="L260" s="32"/>
      <c r="M260" s="32">
        <v>0</v>
      </c>
      <c r="N260" s="31"/>
      <c r="O260" s="34">
        <v>46106.668749999997</v>
      </c>
      <c r="P260" s="35" t="s">
        <v>72</v>
      </c>
      <c r="Q260" s="35" t="s">
        <v>79</v>
      </c>
      <c r="R260" s="33">
        <v>46244</v>
      </c>
      <c r="S260" s="30" t="s">
        <v>21</v>
      </c>
      <c r="T260" s="36">
        <v>259</v>
      </c>
      <c r="U260" s="30" t="s">
        <v>74</v>
      </c>
      <c r="V260" s="30" t="s">
        <v>73</v>
      </c>
    </row>
    <row r="261" spans="1:22" ht="75" hidden="1" x14ac:dyDescent="0.25">
      <c r="A261" s="30" t="s">
        <v>257</v>
      </c>
      <c r="B261" s="30" t="s">
        <v>177</v>
      </c>
      <c r="C261" s="30" t="s">
        <v>143</v>
      </c>
      <c r="D261" s="31" t="s">
        <v>258</v>
      </c>
      <c r="E261" s="30" t="s">
        <v>160</v>
      </c>
      <c r="F261" s="30" t="s">
        <v>22</v>
      </c>
      <c r="G261" s="31" t="s">
        <v>259</v>
      </c>
      <c r="H261" s="32">
        <v>0</v>
      </c>
      <c r="I261" s="31"/>
      <c r="J261" s="33">
        <v>46235</v>
      </c>
      <c r="K261" s="32">
        <v>0</v>
      </c>
      <c r="L261" s="32"/>
      <c r="M261" s="32">
        <v>0</v>
      </c>
      <c r="N261" s="31"/>
      <c r="O261" s="34">
        <v>46106.668749999997</v>
      </c>
      <c r="P261" s="35" t="s">
        <v>72</v>
      </c>
      <c r="Q261" s="35" t="s">
        <v>79</v>
      </c>
      <c r="R261" s="33">
        <v>46275</v>
      </c>
      <c r="S261" s="30" t="s">
        <v>21</v>
      </c>
      <c r="T261" s="36">
        <v>260</v>
      </c>
      <c r="U261" s="30" t="s">
        <v>74</v>
      </c>
      <c r="V261" s="30" t="s">
        <v>73</v>
      </c>
    </row>
    <row r="262" spans="1:22" ht="75" hidden="1" x14ac:dyDescent="0.25">
      <c r="A262" s="30" t="s">
        <v>257</v>
      </c>
      <c r="B262" s="30" t="s">
        <v>177</v>
      </c>
      <c r="C262" s="30" t="s">
        <v>143</v>
      </c>
      <c r="D262" s="31" t="s">
        <v>258</v>
      </c>
      <c r="E262" s="30" t="s">
        <v>160</v>
      </c>
      <c r="F262" s="30" t="s">
        <v>22</v>
      </c>
      <c r="G262" s="31" t="s">
        <v>259</v>
      </c>
      <c r="H262" s="32">
        <v>0</v>
      </c>
      <c r="I262" s="31"/>
      <c r="J262" s="33">
        <v>46266</v>
      </c>
      <c r="K262" s="32">
        <v>0</v>
      </c>
      <c r="L262" s="32"/>
      <c r="M262" s="32">
        <v>0</v>
      </c>
      <c r="N262" s="31"/>
      <c r="O262" s="34">
        <v>46106.668749999997</v>
      </c>
      <c r="P262" s="35" t="s">
        <v>72</v>
      </c>
      <c r="Q262" s="35" t="s">
        <v>79</v>
      </c>
      <c r="R262" s="33">
        <v>46306</v>
      </c>
      <c r="S262" s="30" t="s">
        <v>21</v>
      </c>
      <c r="T262" s="36">
        <v>261</v>
      </c>
      <c r="U262" s="30" t="s">
        <v>74</v>
      </c>
      <c r="V262" s="30" t="s">
        <v>73</v>
      </c>
    </row>
    <row r="263" spans="1:22" ht="75" hidden="1" x14ac:dyDescent="0.25">
      <c r="A263" s="30" t="s">
        <v>257</v>
      </c>
      <c r="B263" s="30" t="s">
        <v>177</v>
      </c>
      <c r="C263" s="30" t="s">
        <v>143</v>
      </c>
      <c r="D263" s="31" t="s">
        <v>258</v>
      </c>
      <c r="E263" s="30" t="s">
        <v>160</v>
      </c>
      <c r="F263" s="30" t="s">
        <v>22</v>
      </c>
      <c r="G263" s="31" t="s">
        <v>259</v>
      </c>
      <c r="H263" s="32">
        <v>0.3</v>
      </c>
      <c r="I263" s="31"/>
      <c r="J263" s="33">
        <v>46296</v>
      </c>
      <c r="K263" s="32">
        <v>0</v>
      </c>
      <c r="L263" s="32"/>
      <c r="M263" s="32">
        <v>0</v>
      </c>
      <c r="N263" s="31"/>
      <c r="O263" s="34">
        <v>46106.668749999997</v>
      </c>
      <c r="P263" s="35" t="s">
        <v>72</v>
      </c>
      <c r="Q263" s="35" t="s">
        <v>79</v>
      </c>
      <c r="R263" s="33">
        <v>46336</v>
      </c>
      <c r="S263" s="30" t="s">
        <v>21</v>
      </c>
      <c r="T263" s="36">
        <v>262</v>
      </c>
      <c r="U263" s="30" t="s">
        <v>74</v>
      </c>
      <c r="V263" s="30" t="s">
        <v>73</v>
      </c>
    </row>
    <row r="264" spans="1:22" ht="75" hidden="1" x14ac:dyDescent="0.25">
      <c r="A264" s="30" t="s">
        <v>257</v>
      </c>
      <c r="B264" s="30" t="s">
        <v>177</v>
      </c>
      <c r="C264" s="30" t="s">
        <v>143</v>
      </c>
      <c r="D264" s="31" t="s">
        <v>258</v>
      </c>
      <c r="E264" s="30" t="s">
        <v>160</v>
      </c>
      <c r="F264" s="30" t="s">
        <v>22</v>
      </c>
      <c r="G264" s="31" t="s">
        <v>259</v>
      </c>
      <c r="H264" s="32">
        <v>0.6</v>
      </c>
      <c r="I264" s="31"/>
      <c r="J264" s="33">
        <v>46327</v>
      </c>
      <c r="K264" s="32">
        <v>0</v>
      </c>
      <c r="L264" s="32"/>
      <c r="M264" s="32">
        <v>0</v>
      </c>
      <c r="N264" s="31"/>
      <c r="O264" s="34">
        <v>46106.668749999997</v>
      </c>
      <c r="P264" s="35" t="s">
        <v>72</v>
      </c>
      <c r="Q264" s="35" t="s">
        <v>79</v>
      </c>
      <c r="R264" s="33">
        <v>46367</v>
      </c>
      <c r="S264" s="30" t="s">
        <v>21</v>
      </c>
      <c r="T264" s="36">
        <v>263</v>
      </c>
      <c r="U264" s="30" t="s">
        <v>74</v>
      </c>
      <c r="V264" s="30" t="s">
        <v>73</v>
      </c>
    </row>
    <row r="265" spans="1:22" ht="75" hidden="1" x14ac:dyDescent="0.25">
      <c r="A265" s="30" t="s">
        <v>257</v>
      </c>
      <c r="B265" s="30" t="s">
        <v>177</v>
      </c>
      <c r="C265" s="30" t="s">
        <v>143</v>
      </c>
      <c r="D265" s="31" t="s">
        <v>258</v>
      </c>
      <c r="E265" s="30" t="s">
        <v>160</v>
      </c>
      <c r="F265" s="30" t="s">
        <v>22</v>
      </c>
      <c r="G265" s="31" t="s">
        <v>259</v>
      </c>
      <c r="H265" s="32">
        <v>0.9</v>
      </c>
      <c r="I265" s="31"/>
      <c r="J265" s="33">
        <v>46357</v>
      </c>
      <c r="K265" s="32">
        <v>0</v>
      </c>
      <c r="L265" s="32"/>
      <c r="M265" s="32">
        <v>0</v>
      </c>
      <c r="N265" s="31"/>
      <c r="O265" s="34">
        <v>46106.668749999997</v>
      </c>
      <c r="P265" s="35" t="s">
        <v>72</v>
      </c>
      <c r="Q265" s="35" t="s">
        <v>79</v>
      </c>
      <c r="R265" s="33">
        <v>46397</v>
      </c>
      <c r="S265" s="30" t="s">
        <v>21</v>
      </c>
      <c r="T265" s="36">
        <v>264</v>
      </c>
      <c r="U265" s="30" t="s">
        <v>74</v>
      </c>
      <c r="V265" s="30" t="s">
        <v>73</v>
      </c>
    </row>
    <row r="266" spans="1:22" ht="75" hidden="1" x14ac:dyDescent="0.25">
      <c r="A266" s="30" t="s">
        <v>266</v>
      </c>
      <c r="B266" s="30" t="s">
        <v>177</v>
      </c>
      <c r="C266" s="30" t="s">
        <v>167</v>
      </c>
      <c r="D266" s="31" t="s">
        <v>267</v>
      </c>
      <c r="E266" s="30" t="s">
        <v>67</v>
      </c>
      <c r="F266" s="30" t="s">
        <v>18</v>
      </c>
      <c r="G266" s="31" t="s">
        <v>268</v>
      </c>
      <c r="H266" s="32">
        <v>5.0000000000000001E-3</v>
      </c>
      <c r="I266" s="31"/>
      <c r="J266" s="33">
        <v>46023</v>
      </c>
      <c r="K266" s="32">
        <v>1.0200000000000001E-2</v>
      </c>
      <c r="L266" s="32">
        <v>1.0967</v>
      </c>
      <c r="M266" s="32">
        <v>1</v>
      </c>
      <c r="N266" s="31" t="s">
        <v>269</v>
      </c>
      <c r="O266" s="34">
        <v>46220.815798611111</v>
      </c>
      <c r="P266" s="35" t="s">
        <v>109</v>
      </c>
      <c r="Q266" s="35" t="s">
        <v>70</v>
      </c>
      <c r="R266" s="33">
        <v>46063</v>
      </c>
      <c r="S266" s="30" t="s">
        <v>21</v>
      </c>
      <c r="T266" s="36">
        <v>265</v>
      </c>
      <c r="U266" s="30" t="s">
        <v>74</v>
      </c>
      <c r="V266" s="30" t="s">
        <v>73</v>
      </c>
    </row>
    <row r="267" spans="1:22" ht="105" hidden="1" x14ac:dyDescent="0.25">
      <c r="A267" s="30" t="s">
        <v>266</v>
      </c>
      <c r="B267" s="30" t="s">
        <v>177</v>
      </c>
      <c r="C267" s="30" t="s">
        <v>167</v>
      </c>
      <c r="D267" s="31" t="s">
        <v>267</v>
      </c>
      <c r="E267" s="30" t="s">
        <v>67</v>
      </c>
      <c r="F267" s="30" t="s">
        <v>18</v>
      </c>
      <c r="G267" s="31" t="s">
        <v>268</v>
      </c>
      <c r="H267" s="32">
        <v>5.0000000000000001E-3</v>
      </c>
      <c r="I267" s="31"/>
      <c r="J267" s="33">
        <v>46054</v>
      </c>
      <c r="K267" s="32">
        <v>3.7599999999999998E-4</v>
      </c>
      <c r="L267" s="32">
        <v>0.95760000000000001</v>
      </c>
      <c r="M267" s="32">
        <v>0.95760000000000001</v>
      </c>
      <c r="N267" s="31" t="s">
        <v>270</v>
      </c>
      <c r="O267" s="34">
        <v>46220.816087962965</v>
      </c>
      <c r="P267" s="35" t="s">
        <v>109</v>
      </c>
      <c r="Q267" s="35" t="s">
        <v>70</v>
      </c>
      <c r="R267" s="33">
        <v>46094</v>
      </c>
      <c r="S267" s="30" t="s">
        <v>21</v>
      </c>
      <c r="T267" s="36">
        <v>266</v>
      </c>
      <c r="U267" s="30" t="s">
        <v>74</v>
      </c>
      <c r="V267" s="30" t="s">
        <v>73</v>
      </c>
    </row>
    <row r="268" spans="1:22" ht="120" hidden="1" x14ac:dyDescent="0.25">
      <c r="A268" s="30" t="s">
        <v>266</v>
      </c>
      <c r="B268" s="30" t="s">
        <v>177</v>
      </c>
      <c r="C268" s="30" t="s">
        <v>167</v>
      </c>
      <c r="D268" s="31" t="s">
        <v>267</v>
      </c>
      <c r="E268" s="30" t="s">
        <v>67</v>
      </c>
      <c r="F268" s="30" t="s">
        <v>18</v>
      </c>
      <c r="G268" s="31" t="s">
        <v>268</v>
      </c>
      <c r="H268" s="32">
        <v>5.0000000000000001E-3</v>
      </c>
      <c r="I268" s="31"/>
      <c r="J268" s="33">
        <v>46082</v>
      </c>
      <c r="K268" s="32">
        <v>5.7000000000000002E-3</v>
      </c>
      <c r="L268" s="32">
        <v>1.1399999999999999</v>
      </c>
      <c r="M268" s="32">
        <v>1</v>
      </c>
      <c r="N268" s="31" t="s">
        <v>271</v>
      </c>
      <c r="O268" s="34">
        <v>46129.728993055556</v>
      </c>
      <c r="P268" s="35" t="s">
        <v>72</v>
      </c>
      <c r="Q268" s="35" t="s">
        <v>70</v>
      </c>
      <c r="R268" s="33">
        <v>46122</v>
      </c>
      <c r="S268" s="30" t="s">
        <v>21</v>
      </c>
      <c r="T268" s="36">
        <v>267</v>
      </c>
      <c r="U268" s="30" t="s">
        <v>74</v>
      </c>
      <c r="V268" s="30" t="s">
        <v>73</v>
      </c>
    </row>
    <row r="269" spans="1:22" ht="60" hidden="1" x14ac:dyDescent="0.25">
      <c r="A269" s="30" t="s">
        <v>266</v>
      </c>
      <c r="B269" s="30" t="s">
        <v>177</v>
      </c>
      <c r="C269" s="30" t="s">
        <v>167</v>
      </c>
      <c r="D269" s="31" t="s">
        <v>267</v>
      </c>
      <c r="E269" s="30" t="s">
        <v>67</v>
      </c>
      <c r="F269" s="30" t="s">
        <v>18</v>
      </c>
      <c r="G269" s="31" t="s">
        <v>268</v>
      </c>
      <c r="H269" s="32">
        <v>0.01</v>
      </c>
      <c r="I269" s="31"/>
      <c r="J269" s="33">
        <v>46113</v>
      </c>
      <c r="K269" s="32">
        <v>1.0189999999999999E-2</v>
      </c>
      <c r="L269" s="32">
        <v>0.1009</v>
      </c>
      <c r="M269" s="32">
        <v>0.1009</v>
      </c>
      <c r="N269" s="31" t="s">
        <v>272</v>
      </c>
      <c r="O269" s="34">
        <v>46220.8125462963</v>
      </c>
      <c r="P269" s="35" t="s">
        <v>109</v>
      </c>
      <c r="Q269" s="35" t="s">
        <v>79</v>
      </c>
      <c r="R269" s="33">
        <v>46153</v>
      </c>
      <c r="S269" s="30" t="s">
        <v>21</v>
      </c>
      <c r="T269" s="36">
        <v>268</v>
      </c>
      <c r="U269" s="30" t="s">
        <v>74</v>
      </c>
      <c r="V269" s="30" t="s">
        <v>73</v>
      </c>
    </row>
    <row r="270" spans="1:22" ht="60" hidden="1" x14ac:dyDescent="0.25">
      <c r="A270" s="30" t="s">
        <v>266</v>
      </c>
      <c r="B270" s="30" t="s">
        <v>177</v>
      </c>
      <c r="C270" s="30" t="s">
        <v>167</v>
      </c>
      <c r="D270" s="31" t="s">
        <v>267</v>
      </c>
      <c r="E270" s="30" t="s">
        <v>67</v>
      </c>
      <c r="F270" s="30" t="s">
        <v>18</v>
      </c>
      <c r="G270" s="31" t="s">
        <v>268</v>
      </c>
      <c r="H270" s="32">
        <v>0.01</v>
      </c>
      <c r="I270" s="31"/>
      <c r="J270" s="33">
        <v>46143</v>
      </c>
      <c r="K270" s="32">
        <v>0.10249999999999999</v>
      </c>
      <c r="L270" s="32">
        <v>0.1048</v>
      </c>
      <c r="M270" s="32">
        <v>0.1048</v>
      </c>
      <c r="N270" s="31" t="s">
        <v>273</v>
      </c>
      <c r="O270" s="34">
        <v>46220.813009259262</v>
      </c>
      <c r="P270" s="35" t="s">
        <v>109</v>
      </c>
      <c r="Q270" s="35" t="s">
        <v>79</v>
      </c>
      <c r="R270" s="33">
        <v>46183</v>
      </c>
      <c r="S270" s="30" t="s">
        <v>21</v>
      </c>
      <c r="T270" s="36">
        <v>269</v>
      </c>
      <c r="U270" s="30" t="s">
        <v>74</v>
      </c>
      <c r="V270" s="30" t="s">
        <v>73</v>
      </c>
    </row>
    <row r="271" spans="1:22" ht="210" hidden="1" x14ac:dyDescent="0.25">
      <c r="A271" s="30" t="s">
        <v>266</v>
      </c>
      <c r="B271" s="30" t="s">
        <v>177</v>
      </c>
      <c r="C271" s="30" t="s">
        <v>167</v>
      </c>
      <c r="D271" s="31" t="s">
        <v>267</v>
      </c>
      <c r="E271" s="30" t="s">
        <v>67</v>
      </c>
      <c r="F271" s="30" t="s">
        <v>18</v>
      </c>
      <c r="G271" s="31" t="s">
        <v>268</v>
      </c>
      <c r="H271" s="32">
        <v>0.01</v>
      </c>
      <c r="I271" s="31"/>
      <c r="J271" s="33">
        <v>46174</v>
      </c>
      <c r="K271" s="32">
        <v>9.8799999999999999E-2</v>
      </c>
      <c r="L271" s="32">
        <v>0.97840000000000005</v>
      </c>
      <c r="M271" s="32">
        <v>0.97840000000000005</v>
      </c>
      <c r="N271" s="31" t="s">
        <v>274</v>
      </c>
      <c r="O271" s="34">
        <v>46220.81355324074</v>
      </c>
      <c r="P271" s="35" t="s">
        <v>109</v>
      </c>
      <c r="Q271" s="35" t="s">
        <v>79</v>
      </c>
      <c r="R271" s="33">
        <v>46214</v>
      </c>
      <c r="S271" s="30" t="s">
        <v>21</v>
      </c>
      <c r="T271" s="36">
        <v>270</v>
      </c>
      <c r="U271" s="30" t="s">
        <v>74</v>
      </c>
      <c r="V271" s="30" t="s">
        <v>73</v>
      </c>
    </row>
    <row r="272" spans="1:22" ht="30" hidden="1" x14ac:dyDescent="0.25">
      <c r="A272" s="30" t="s">
        <v>266</v>
      </c>
      <c r="B272" s="30" t="s">
        <v>177</v>
      </c>
      <c r="C272" s="30" t="s">
        <v>167</v>
      </c>
      <c r="D272" s="31" t="s">
        <v>267</v>
      </c>
      <c r="E272" s="30" t="s">
        <v>67</v>
      </c>
      <c r="F272" s="30" t="s">
        <v>18</v>
      </c>
      <c r="G272" s="31" t="s">
        <v>268</v>
      </c>
      <c r="H272" s="32">
        <v>1.4999999999999999E-2</v>
      </c>
      <c r="I272" s="31"/>
      <c r="J272" s="33">
        <v>46204</v>
      </c>
      <c r="K272" s="32">
        <v>0</v>
      </c>
      <c r="L272" s="32"/>
      <c r="M272" s="32">
        <v>0</v>
      </c>
      <c r="N272" s="31"/>
      <c r="O272" s="34">
        <v>46220.813831018517</v>
      </c>
      <c r="P272" s="35" t="s">
        <v>109</v>
      </c>
      <c r="Q272" s="35" t="s">
        <v>79</v>
      </c>
      <c r="R272" s="33">
        <v>46244</v>
      </c>
      <c r="S272" s="30" t="s">
        <v>21</v>
      </c>
      <c r="T272" s="36">
        <v>271</v>
      </c>
      <c r="U272" s="30" t="s">
        <v>74</v>
      </c>
      <c r="V272" s="30" t="s">
        <v>73</v>
      </c>
    </row>
    <row r="273" spans="1:22" ht="30" hidden="1" x14ac:dyDescent="0.25">
      <c r="A273" s="30" t="s">
        <v>266</v>
      </c>
      <c r="B273" s="30" t="s">
        <v>177</v>
      </c>
      <c r="C273" s="30" t="s">
        <v>167</v>
      </c>
      <c r="D273" s="31" t="s">
        <v>267</v>
      </c>
      <c r="E273" s="30" t="s">
        <v>67</v>
      </c>
      <c r="F273" s="30" t="s">
        <v>18</v>
      </c>
      <c r="G273" s="31" t="s">
        <v>268</v>
      </c>
      <c r="H273" s="32">
        <v>1.4999999999999999E-2</v>
      </c>
      <c r="I273" s="31"/>
      <c r="J273" s="33">
        <v>46235</v>
      </c>
      <c r="K273" s="32">
        <v>0</v>
      </c>
      <c r="L273" s="32"/>
      <c r="M273" s="32">
        <v>0</v>
      </c>
      <c r="N273" s="31"/>
      <c r="O273" s="34">
        <v>46220.81391203704</v>
      </c>
      <c r="P273" s="35" t="s">
        <v>109</v>
      </c>
      <c r="Q273" s="35" t="s">
        <v>79</v>
      </c>
      <c r="R273" s="33">
        <v>46275</v>
      </c>
      <c r="S273" s="30" t="s">
        <v>21</v>
      </c>
      <c r="T273" s="36">
        <v>272</v>
      </c>
      <c r="U273" s="30" t="s">
        <v>74</v>
      </c>
      <c r="V273" s="30" t="s">
        <v>73</v>
      </c>
    </row>
    <row r="274" spans="1:22" ht="30" hidden="1" x14ac:dyDescent="0.25">
      <c r="A274" s="30" t="s">
        <v>266</v>
      </c>
      <c r="B274" s="30" t="s">
        <v>177</v>
      </c>
      <c r="C274" s="30" t="s">
        <v>167</v>
      </c>
      <c r="D274" s="31" t="s">
        <v>267</v>
      </c>
      <c r="E274" s="30" t="s">
        <v>67</v>
      </c>
      <c r="F274" s="30" t="s">
        <v>18</v>
      </c>
      <c r="G274" s="31" t="s">
        <v>268</v>
      </c>
      <c r="H274" s="32">
        <v>1.4999999999999999E-2</v>
      </c>
      <c r="I274" s="31"/>
      <c r="J274" s="33">
        <v>46266</v>
      </c>
      <c r="K274" s="32">
        <v>0</v>
      </c>
      <c r="L274" s="32"/>
      <c r="M274" s="32">
        <v>0</v>
      </c>
      <c r="N274" s="31"/>
      <c r="O274" s="34">
        <v>46220.813969907409</v>
      </c>
      <c r="P274" s="35" t="s">
        <v>109</v>
      </c>
      <c r="Q274" s="35" t="s">
        <v>79</v>
      </c>
      <c r="R274" s="33">
        <v>46306</v>
      </c>
      <c r="S274" s="30" t="s">
        <v>21</v>
      </c>
      <c r="T274" s="36">
        <v>273</v>
      </c>
      <c r="U274" s="30" t="s">
        <v>74</v>
      </c>
      <c r="V274" s="30" t="s">
        <v>73</v>
      </c>
    </row>
    <row r="275" spans="1:22" ht="30" hidden="1" x14ac:dyDescent="0.25">
      <c r="A275" s="30" t="s">
        <v>266</v>
      </c>
      <c r="B275" s="30" t="s">
        <v>177</v>
      </c>
      <c r="C275" s="30" t="s">
        <v>167</v>
      </c>
      <c r="D275" s="31" t="s">
        <v>267</v>
      </c>
      <c r="E275" s="30" t="s">
        <v>67</v>
      </c>
      <c r="F275" s="30" t="s">
        <v>18</v>
      </c>
      <c r="G275" s="31" t="s">
        <v>268</v>
      </c>
      <c r="H275" s="32">
        <v>0.02</v>
      </c>
      <c r="I275" s="31"/>
      <c r="J275" s="33">
        <v>46296</v>
      </c>
      <c r="K275" s="32">
        <v>0</v>
      </c>
      <c r="L275" s="32"/>
      <c r="M275" s="32">
        <v>0</v>
      </c>
      <c r="N275" s="31"/>
      <c r="O275" s="34">
        <v>46119.739016203705</v>
      </c>
      <c r="P275" s="35" t="s">
        <v>72</v>
      </c>
      <c r="Q275" s="35" t="s">
        <v>79</v>
      </c>
      <c r="R275" s="33">
        <v>46336</v>
      </c>
      <c r="S275" s="30" t="s">
        <v>21</v>
      </c>
      <c r="T275" s="36">
        <v>274</v>
      </c>
      <c r="U275" s="30" t="s">
        <v>74</v>
      </c>
      <c r="V275" s="30" t="s">
        <v>73</v>
      </c>
    </row>
    <row r="276" spans="1:22" ht="30" hidden="1" x14ac:dyDescent="0.25">
      <c r="A276" s="30" t="s">
        <v>266</v>
      </c>
      <c r="B276" s="30" t="s">
        <v>177</v>
      </c>
      <c r="C276" s="30" t="s">
        <v>167</v>
      </c>
      <c r="D276" s="31" t="s">
        <v>267</v>
      </c>
      <c r="E276" s="30" t="s">
        <v>67</v>
      </c>
      <c r="F276" s="30" t="s">
        <v>18</v>
      </c>
      <c r="G276" s="31" t="s">
        <v>268</v>
      </c>
      <c r="H276" s="32">
        <v>0.02</v>
      </c>
      <c r="I276" s="31"/>
      <c r="J276" s="33">
        <v>46327</v>
      </c>
      <c r="K276" s="32">
        <v>0</v>
      </c>
      <c r="L276" s="32"/>
      <c r="M276" s="32">
        <v>0</v>
      </c>
      <c r="N276" s="31"/>
      <c r="O276" s="34">
        <v>46119.739085648151</v>
      </c>
      <c r="P276" s="35" t="s">
        <v>72</v>
      </c>
      <c r="Q276" s="35" t="s">
        <v>79</v>
      </c>
      <c r="R276" s="33">
        <v>46367</v>
      </c>
      <c r="S276" s="30" t="s">
        <v>21</v>
      </c>
      <c r="T276" s="36">
        <v>275</v>
      </c>
      <c r="U276" s="30" t="s">
        <v>74</v>
      </c>
      <c r="V276" s="30" t="s">
        <v>73</v>
      </c>
    </row>
    <row r="277" spans="1:22" ht="30" hidden="1" x14ac:dyDescent="0.25">
      <c r="A277" s="30" t="s">
        <v>266</v>
      </c>
      <c r="B277" s="30" t="s">
        <v>177</v>
      </c>
      <c r="C277" s="30" t="s">
        <v>167</v>
      </c>
      <c r="D277" s="31" t="s">
        <v>267</v>
      </c>
      <c r="E277" s="30" t="s">
        <v>67</v>
      </c>
      <c r="F277" s="30" t="s">
        <v>18</v>
      </c>
      <c r="G277" s="31" t="s">
        <v>268</v>
      </c>
      <c r="H277" s="32">
        <v>0.02</v>
      </c>
      <c r="I277" s="31"/>
      <c r="J277" s="33">
        <v>46357</v>
      </c>
      <c r="K277" s="32">
        <v>0</v>
      </c>
      <c r="L277" s="32"/>
      <c r="M277" s="32">
        <v>0</v>
      </c>
      <c r="N277" s="31"/>
      <c r="O277" s="34">
        <v>46100.749942129631</v>
      </c>
      <c r="P277" s="35" t="s">
        <v>72</v>
      </c>
      <c r="Q277" s="35" t="s">
        <v>79</v>
      </c>
      <c r="R277" s="33">
        <v>46397</v>
      </c>
      <c r="S277" s="30" t="s">
        <v>21</v>
      </c>
      <c r="T277" s="36">
        <v>276</v>
      </c>
      <c r="U277" s="30" t="s">
        <v>74</v>
      </c>
      <c r="V277" s="30" t="s">
        <v>73</v>
      </c>
    </row>
    <row r="278" spans="1:22" hidden="1" x14ac:dyDescent="0.25">
      <c r="A278" s="30" t="s">
        <v>275</v>
      </c>
      <c r="B278" s="30" t="s">
        <v>276</v>
      </c>
      <c r="C278" s="30" t="s">
        <v>277</v>
      </c>
      <c r="D278" s="31" t="s">
        <v>276</v>
      </c>
      <c r="E278" s="30" t="s">
        <v>278</v>
      </c>
      <c r="F278" s="30" t="s">
        <v>278</v>
      </c>
      <c r="G278" s="31" t="s">
        <v>276</v>
      </c>
      <c r="H278" s="32">
        <v>0</v>
      </c>
      <c r="I278" s="31"/>
      <c r="J278" s="33">
        <v>46023</v>
      </c>
      <c r="K278" s="32">
        <v>0.14000000000000001</v>
      </c>
      <c r="L278" s="32">
        <v>1</v>
      </c>
      <c r="M278" s="32">
        <v>1</v>
      </c>
      <c r="N278" s="31" t="s">
        <v>275</v>
      </c>
      <c r="O278" s="34">
        <v>46126.576006944444</v>
      </c>
      <c r="P278" s="35" t="s">
        <v>72</v>
      </c>
      <c r="Q278" s="35" t="s">
        <v>70</v>
      </c>
      <c r="R278" s="33"/>
      <c r="S278" s="30"/>
      <c r="T278" s="36">
        <v>278</v>
      </c>
      <c r="U278" s="30" t="s">
        <v>74</v>
      </c>
      <c r="V278" s="30" t="s">
        <v>73</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519D-6D30-484E-8E11-E826C646B4FD}">
  <sheetPr codeName="Planilha1"/>
  <dimension ref="A1:M96"/>
  <sheetViews>
    <sheetView showGridLines="0" zoomScale="85" zoomScaleNormal="85" workbookViewId="0">
      <pane ySplit="1" topLeftCell="A2" activePane="bottomLeft" state="frozen"/>
      <selection pane="bottomLeft" activeCell="K12" sqref="K12"/>
    </sheetView>
  </sheetViews>
  <sheetFormatPr defaultColWidth="8.85546875" defaultRowHeight="15" x14ac:dyDescent="0.25"/>
  <cols>
    <col min="1" max="1" width="55.140625" style="11" customWidth="1"/>
    <col min="2" max="2" width="21.42578125" style="11" customWidth="1"/>
    <col min="3" max="3" width="9.42578125" style="11" customWidth="1"/>
    <col min="4" max="4" width="8.85546875" style="11" customWidth="1"/>
    <col min="5" max="5" width="22" style="11" bestFit="1" customWidth="1"/>
    <col min="6" max="6" width="17.140625" style="11" customWidth="1"/>
    <col min="7" max="7" width="9.42578125" style="11" customWidth="1"/>
    <col min="8" max="8" width="12.85546875" style="11" customWidth="1"/>
    <col min="9" max="9" width="17.85546875" style="11" customWidth="1"/>
    <col min="10" max="10" width="11.85546875" style="11" customWidth="1"/>
    <col min="11" max="11" width="19.85546875" style="11" customWidth="1"/>
    <col min="12" max="12" width="18.140625" style="11" customWidth="1"/>
    <col min="13" max="16384" width="8.85546875" style="11"/>
  </cols>
  <sheetData>
    <row r="1" spans="1:13" s="2" customFormat="1" ht="60" x14ac:dyDescent="0.25">
      <c r="A1" s="1" t="s">
        <v>0</v>
      </c>
      <c r="B1" s="1" t="s">
        <v>1</v>
      </c>
      <c r="C1" s="1" t="s">
        <v>2</v>
      </c>
      <c r="D1" s="1" t="s">
        <v>3</v>
      </c>
      <c r="E1" s="1" t="s">
        <v>4</v>
      </c>
      <c r="F1" s="1" t="s">
        <v>5</v>
      </c>
      <c r="G1" s="1" t="s">
        <v>6</v>
      </c>
      <c r="H1" s="1" t="s">
        <v>7</v>
      </c>
      <c r="I1" s="1" t="s">
        <v>8</v>
      </c>
      <c r="J1" s="1" t="s">
        <v>9</v>
      </c>
      <c r="K1" s="1" t="s">
        <v>10</v>
      </c>
      <c r="L1" s="1" t="s">
        <v>11</v>
      </c>
      <c r="M1" s="2" t="s">
        <v>12</v>
      </c>
    </row>
    <row r="2" spans="1:13" s="27" customFormat="1" x14ac:dyDescent="0.25">
      <c r="A2" s="19" t="s">
        <v>13</v>
      </c>
      <c r="B2" s="20" t="s">
        <v>14</v>
      </c>
      <c r="C2" s="20" t="s">
        <v>15</v>
      </c>
      <c r="D2" s="20">
        <v>0.2</v>
      </c>
      <c r="E2" s="21">
        <v>1305000000</v>
      </c>
      <c r="F2" s="21">
        <v>562672034.99000001</v>
      </c>
      <c r="G2" s="22">
        <f>F2/E2</f>
        <v>0.43116631033716474</v>
      </c>
      <c r="H2" s="20">
        <f>IF(M2&gt;1,D2,M2*D2)</f>
        <v>0</v>
      </c>
      <c r="I2" s="20"/>
      <c r="J2" s="23">
        <v>46143</v>
      </c>
      <c r="K2" s="24" t="s">
        <v>16</v>
      </c>
      <c r="L2" s="25" t="s">
        <v>17</v>
      </c>
      <c r="M2" s="26">
        <f>IF(G2&gt;=[1]Aux!$E$29,[1]Aux!$F$29,IF(AND(G2&lt;[1]Aux!$E$29,G2&gt;[1]Aux!$E$30),[1]Aux!$F$30,IF(AND(G2&lt;[1]Aux!$E$30,G2&gt;[1]Aux!$E$31),[1]Aux!$F$31,IF(AND(G2&lt;[1]Aux!$E$31,G2&gt;[1]Aux!$E$32),[1]Aux!$F$32,IF(AND(G2&lt;[1]Aux!$E$32,G2&gt;[1]Aux!$E$33),[1]Aux!$F$33,IF(AND(G2&lt;[1]Aux!$E$33,G2&gt;[1]Aux!$E$34),[1]Aux!$F$34,IF(AND(G2&lt;[1]Aux!$E$34,G2&gt;[1]Aux!$E$35),[1]Aux!$F$35,IF(AND(G2&lt;[1]Aux!$E$35,G2&gt;[1]Aux!$E$36),[1]Aux!$F$36,IF(G2&lt;[1]Aux!$E$36,0,"Verificar")))))))))</f>
        <v>0</v>
      </c>
    </row>
    <row r="3" spans="1:13" s="27" customFormat="1" x14ac:dyDescent="0.25">
      <c r="A3" s="19" t="s">
        <v>13</v>
      </c>
      <c r="B3" s="20" t="s">
        <v>14</v>
      </c>
      <c r="C3" s="20" t="s">
        <v>18</v>
      </c>
      <c r="D3" s="20">
        <v>0.15</v>
      </c>
      <c r="E3" s="21">
        <v>1305000000</v>
      </c>
      <c r="F3" s="21">
        <v>562672034.99000001</v>
      </c>
      <c r="G3" s="22">
        <f t="shared" ref="G3:G4" si="0">F3/E3</f>
        <v>0.43116631033716474</v>
      </c>
      <c r="H3" s="20">
        <f t="shared" ref="H3:H48" si="1">IF(M3&gt;1,D3,M3*D3)</f>
        <v>0</v>
      </c>
      <c r="I3" s="20"/>
      <c r="J3" s="23">
        <v>46143</v>
      </c>
      <c r="K3" s="24" t="s">
        <v>16</v>
      </c>
      <c r="L3" s="25" t="s">
        <v>17</v>
      </c>
      <c r="M3" s="26">
        <f>IF(G3&gt;=[1]Aux!$E$29,[1]Aux!$F$29,IF(AND(G3&lt;[1]Aux!$E$29,G3&gt;[1]Aux!$E$30),[1]Aux!$F$30,IF(AND(G3&lt;[1]Aux!$E$30,G3&gt;[1]Aux!$E$31),[1]Aux!$F$31,IF(AND(G3&lt;[1]Aux!$E$31,G3&gt;[1]Aux!$E$32),[1]Aux!$F$32,IF(AND(G3&lt;[1]Aux!$E$32,G3&gt;[1]Aux!$E$33),[1]Aux!$F$33,IF(AND(G3&lt;[1]Aux!$E$33,G3&gt;[1]Aux!$E$34),[1]Aux!$F$34,IF(AND(G3&lt;[1]Aux!$E$34,G3&gt;[1]Aux!$E$35),[1]Aux!$F$35,IF(AND(G3&lt;[1]Aux!$E$35,G3&gt;[1]Aux!$E$36),[1]Aux!$F$36,IF(G3&lt;[1]Aux!$E$36,0,"Verificar")))))))))</f>
        <v>0</v>
      </c>
    </row>
    <row r="4" spans="1:13" s="27" customFormat="1" x14ac:dyDescent="0.25">
      <c r="A4" s="19" t="s">
        <v>13</v>
      </c>
      <c r="B4" s="20" t="s">
        <v>14</v>
      </c>
      <c r="C4" s="20" t="s">
        <v>19</v>
      </c>
      <c r="D4" s="20">
        <v>0.15</v>
      </c>
      <c r="E4" s="21">
        <v>1305000000</v>
      </c>
      <c r="F4" s="21">
        <v>562672034.99000001</v>
      </c>
      <c r="G4" s="22">
        <f t="shared" si="0"/>
        <v>0.43116631033716474</v>
      </c>
      <c r="H4" s="20">
        <f t="shared" si="1"/>
        <v>0</v>
      </c>
      <c r="I4" s="20"/>
      <c r="J4" s="23">
        <v>46143</v>
      </c>
      <c r="K4" s="24" t="s">
        <v>16</v>
      </c>
      <c r="L4" s="25" t="s">
        <v>17</v>
      </c>
      <c r="M4" s="26">
        <f>IF(G4&gt;=[1]Aux!$E$29,[1]Aux!$F$29,IF(AND(G4&lt;[1]Aux!$E$29,G4&gt;[1]Aux!$E$30),[1]Aux!$F$30,IF(AND(G4&lt;[1]Aux!$E$30,G4&gt;[1]Aux!$E$31),[1]Aux!$F$31,IF(AND(G4&lt;[1]Aux!$E$31,G4&gt;[1]Aux!$E$32),[1]Aux!$F$32,IF(AND(G4&lt;[1]Aux!$E$32,G4&gt;[1]Aux!$E$33),[1]Aux!$F$33,IF(AND(G4&lt;[1]Aux!$E$33,G4&gt;[1]Aux!$E$34),[1]Aux!$F$34,IF(AND(G4&lt;[1]Aux!$E$34,G4&gt;[1]Aux!$E$35),[1]Aux!$F$35,IF(AND(G4&lt;[1]Aux!$E$35,G4&gt;[1]Aux!$E$36),[1]Aux!$F$36,IF(G4&lt;[1]Aux!$E$36,0,"Verificar")))))))))</f>
        <v>0</v>
      </c>
    </row>
    <row r="5" spans="1:13" s="27" customFormat="1" x14ac:dyDescent="0.25">
      <c r="A5" s="19" t="s">
        <v>20</v>
      </c>
      <c r="B5" s="20" t="s">
        <v>14</v>
      </c>
      <c r="C5" s="20" t="s">
        <v>15</v>
      </c>
      <c r="D5" s="20">
        <v>0.2</v>
      </c>
      <c r="E5" s="20">
        <v>0.26640000000000003</v>
      </c>
      <c r="F5" s="20">
        <v>0.156</v>
      </c>
      <c r="G5" s="20">
        <f>1-((F5-E5)/(1-E5))</f>
        <v>1.1504907306434025</v>
      </c>
      <c r="H5" s="20">
        <f t="shared" si="1"/>
        <v>0.2</v>
      </c>
      <c r="I5" s="20"/>
      <c r="J5" s="23">
        <v>46143</v>
      </c>
      <c r="K5" s="24" t="s">
        <v>16</v>
      </c>
      <c r="L5" s="25" t="s">
        <v>21</v>
      </c>
      <c r="M5" s="26">
        <f>IF(G5&gt;=[1]Aux!$E$29,[1]Aux!$F$29,IF(AND(G5&lt;[1]Aux!$E$29,G5&gt;[1]Aux!$E$30),[1]Aux!$F$30,IF(AND(G5&lt;[1]Aux!$E$30,G5&gt;[1]Aux!$E$31),[1]Aux!$F$31,IF(AND(G5&lt;[1]Aux!$E$31,G5&gt;[1]Aux!$E$32),[1]Aux!$F$32,IF(AND(G5&lt;[1]Aux!$E$32,G5&gt;[1]Aux!$E$33),[1]Aux!$F$33,IF(AND(G5&lt;[1]Aux!$E$33,G5&gt;[1]Aux!$E$34),[1]Aux!$F$34,IF(AND(G5&lt;[1]Aux!$E$34,G5&gt;[1]Aux!$E$35),[1]Aux!$F$35,IF(AND(G5&lt;[1]Aux!$E$35,G5&gt;[1]Aux!$E$36),[1]Aux!$F$36,IF(G5&lt;[1]Aux!$E$36,0,"Verificar")))))))))</f>
        <v>1</v>
      </c>
    </row>
    <row r="6" spans="1:13" s="27" customFormat="1" x14ac:dyDescent="0.25">
      <c r="A6" s="19" t="s">
        <v>20</v>
      </c>
      <c r="B6" s="20" t="s">
        <v>14</v>
      </c>
      <c r="C6" s="20" t="s">
        <v>18</v>
      </c>
      <c r="D6" s="20">
        <v>0.1</v>
      </c>
      <c r="E6" s="20">
        <v>0.26640000000000003</v>
      </c>
      <c r="F6" s="20">
        <v>0.156</v>
      </c>
      <c r="G6" s="20">
        <f t="shared" ref="G6:G8" si="2">1-((F6-E6)/(1-E6))</f>
        <v>1.1504907306434025</v>
      </c>
      <c r="H6" s="20">
        <f t="shared" si="1"/>
        <v>0.1</v>
      </c>
      <c r="I6" s="20"/>
      <c r="J6" s="23">
        <v>46143</v>
      </c>
      <c r="K6" s="24" t="s">
        <v>16</v>
      </c>
      <c r="L6" s="25" t="s">
        <v>21</v>
      </c>
      <c r="M6" s="26">
        <f>IF(G6&gt;=[1]Aux!$E$29,[1]Aux!$F$29,IF(AND(G6&lt;[1]Aux!$E$29,G6&gt;[1]Aux!$E$30),[1]Aux!$F$30,IF(AND(G6&lt;[1]Aux!$E$30,G6&gt;[1]Aux!$E$31),[1]Aux!$F$31,IF(AND(G6&lt;[1]Aux!$E$31,G6&gt;[1]Aux!$E$32),[1]Aux!$F$32,IF(AND(G6&lt;[1]Aux!$E$32,G6&gt;[1]Aux!$E$33),[1]Aux!$F$33,IF(AND(G6&lt;[1]Aux!$E$33,G6&gt;[1]Aux!$E$34),[1]Aux!$F$34,IF(AND(G6&lt;[1]Aux!$E$34,G6&gt;[1]Aux!$E$35),[1]Aux!$F$35,IF(AND(G6&lt;[1]Aux!$E$35,G6&gt;[1]Aux!$E$36),[1]Aux!$F$36,IF(G6&lt;[1]Aux!$E$36,0,"Verificar")))))))))</f>
        <v>1</v>
      </c>
    </row>
    <row r="7" spans="1:13" s="27" customFormat="1" x14ac:dyDescent="0.25">
      <c r="A7" s="19" t="s">
        <v>20</v>
      </c>
      <c r="B7" s="20" t="s">
        <v>14</v>
      </c>
      <c r="C7" s="20" t="s">
        <v>19</v>
      </c>
      <c r="D7" s="20">
        <v>0.15</v>
      </c>
      <c r="E7" s="20">
        <v>0.26640000000000003</v>
      </c>
      <c r="F7" s="20">
        <v>0.156</v>
      </c>
      <c r="G7" s="20">
        <f t="shared" si="2"/>
        <v>1.1504907306434025</v>
      </c>
      <c r="H7" s="20">
        <f t="shared" si="1"/>
        <v>0.15</v>
      </c>
      <c r="I7" s="20"/>
      <c r="J7" s="23">
        <v>46143</v>
      </c>
      <c r="K7" s="24" t="s">
        <v>16</v>
      </c>
      <c r="L7" s="25" t="s">
        <v>21</v>
      </c>
      <c r="M7" s="26">
        <f>IF(G7&gt;=[1]Aux!$E$29,[1]Aux!$F$29,IF(AND(G7&lt;[1]Aux!$E$29,G7&gt;[1]Aux!$E$30),[1]Aux!$F$30,IF(AND(G7&lt;[1]Aux!$E$30,G7&gt;[1]Aux!$E$31),[1]Aux!$F$31,IF(AND(G7&lt;[1]Aux!$E$31,G7&gt;[1]Aux!$E$32),[1]Aux!$F$32,IF(AND(G7&lt;[1]Aux!$E$32,G7&gt;[1]Aux!$E$33),[1]Aux!$F$33,IF(AND(G7&lt;[1]Aux!$E$33,G7&gt;[1]Aux!$E$34),[1]Aux!$F$34,IF(AND(G7&lt;[1]Aux!$E$34,G7&gt;[1]Aux!$E$35),[1]Aux!$F$35,IF(AND(G7&lt;[1]Aux!$E$35,G7&gt;[1]Aux!$E$36),[1]Aux!$F$36,IF(G7&lt;[1]Aux!$E$36,0,"Verificar")))))))))</f>
        <v>1</v>
      </c>
    </row>
    <row r="8" spans="1:13" s="27" customFormat="1" x14ac:dyDescent="0.25">
      <c r="A8" s="19" t="s">
        <v>20</v>
      </c>
      <c r="B8" s="20" t="s">
        <v>14</v>
      </c>
      <c r="C8" s="20" t="s">
        <v>22</v>
      </c>
      <c r="D8" s="20">
        <v>0.1</v>
      </c>
      <c r="E8" s="20">
        <v>0.26640000000000003</v>
      </c>
      <c r="F8" s="20">
        <v>0.156</v>
      </c>
      <c r="G8" s="20">
        <f t="shared" si="2"/>
        <v>1.1504907306434025</v>
      </c>
      <c r="H8" s="20">
        <f t="shared" si="1"/>
        <v>0.1</v>
      </c>
      <c r="I8" s="20"/>
      <c r="J8" s="23">
        <v>46143</v>
      </c>
      <c r="K8" s="24" t="s">
        <v>16</v>
      </c>
      <c r="L8" s="25" t="s">
        <v>21</v>
      </c>
      <c r="M8" s="26">
        <f>IF(G8&gt;=[1]Aux!$E$29,[1]Aux!$F$29,IF(AND(G8&lt;[1]Aux!$E$29,G8&gt;[1]Aux!$E$30),[1]Aux!$F$30,IF(AND(G8&lt;[1]Aux!$E$30,G8&gt;[1]Aux!$E$31),[1]Aux!$F$31,IF(AND(G8&lt;[1]Aux!$E$31,G8&gt;[1]Aux!$E$32),[1]Aux!$F$32,IF(AND(G8&lt;[1]Aux!$E$32,G8&gt;[1]Aux!$E$33),[1]Aux!$F$33,IF(AND(G8&lt;[1]Aux!$E$33,G8&gt;[1]Aux!$E$34),[1]Aux!$F$34,IF(AND(G8&lt;[1]Aux!$E$34,G8&gt;[1]Aux!$E$35),[1]Aux!$F$35,IF(AND(G8&lt;[1]Aux!$E$35,G8&gt;[1]Aux!$E$36),[1]Aux!$F$36,IF(G8&lt;[1]Aux!$E$36,0,"Verificar")))))))))</f>
        <v>1</v>
      </c>
    </row>
    <row r="9" spans="1:13" s="27" customFormat="1" x14ac:dyDescent="0.25">
      <c r="A9" s="19" t="s">
        <v>23</v>
      </c>
      <c r="B9" s="20" t="s">
        <v>14</v>
      </c>
      <c r="C9" s="20" t="s">
        <v>15</v>
      </c>
      <c r="D9" s="20">
        <v>0.1</v>
      </c>
      <c r="E9" s="28">
        <v>14996000000</v>
      </c>
      <c r="F9" s="28">
        <v>5640812286.3299999</v>
      </c>
      <c r="G9" s="22">
        <f t="shared" ref="G9:G11" si="3">F9/E9</f>
        <v>0.37615446027807414</v>
      </c>
      <c r="H9" s="20">
        <f t="shared" si="1"/>
        <v>0</v>
      </c>
      <c r="I9" s="20"/>
      <c r="J9" s="23">
        <v>46143</v>
      </c>
      <c r="K9" s="24" t="s">
        <v>16</v>
      </c>
      <c r="L9" s="25" t="s">
        <v>17</v>
      </c>
      <c r="M9" s="26">
        <f>IF(G9&gt;=[1]Aux!$E$29,[1]Aux!$F$29,IF(AND(G9&lt;[1]Aux!$E$29,G9&gt;[1]Aux!$E$30),[1]Aux!$F$30,IF(AND(G9&lt;[1]Aux!$E$30,G9&gt;[1]Aux!$E$31),[1]Aux!$F$31,IF(AND(G9&lt;[1]Aux!$E$31,G9&gt;[1]Aux!$E$32),[1]Aux!$F$32,IF(AND(G9&lt;[1]Aux!$E$32,G9&gt;[1]Aux!$E$33),[1]Aux!$F$33,IF(AND(G9&lt;[1]Aux!$E$33,G9&gt;[1]Aux!$E$34),[1]Aux!$F$34,IF(AND(G9&lt;[1]Aux!$E$34,G9&gt;[1]Aux!$E$35),[1]Aux!$F$35,IF(AND(G9&lt;[1]Aux!$E$35,G9&gt;[1]Aux!$E$36),[1]Aux!$F$36,IF(G9&lt;[1]Aux!$E$36,0,"Verificar")))))))))</f>
        <v>0</v>
      </c>
    </row>
    <row r="10" spans="1:13" s="27" customFormat="1" x14ac:dyDescent="0.25">
      <c r="A10" s="19" t="s">
        <v>23</v>
      </c>
      <c r="B10" s="20" t="s">
        <v>14</v>
      </c>
      <c r="C10" s="20" t="s">
        <v>18</v>
      </c>
      <c r="D10" s="20">
        <v>0.15</v>
      </c>
      <c r="E10" s="28">
        <v>14996000000</v>
      </c>
      <c r="F10" s="28">
        <v>5640812286.3299999</v>
      </c>
      <c r="G10" s="22">
        <f t="shared" si="3"/>
        <v>0.37615446027807414</v>
      </c>
      <c r="H10" s="20">
        <f t="shared" si="1"/>
        <v>0</v>
      </c>
      <c r="I10" s="20"/>
      <c r="J10" s="23">
        <v>46143</v>
      </c>
      <c r="K10" s="24" t="s">
        <v>16</v>
      </c>
      <c r="L10" s="25" t="s">
        <v>17</v>
      </c>
      <c r="M10" s="26">
        <f>IF(G10&gt;=[1]Aux!$E$29,[1]Aux!$F$29,IF(AND(G10&lt;[1]Aux!$E$29,G10&gt;[1]Aux!$E$30),[1]Aux!$F$30,IF(AND(G10&lt;[1]Aux!$E$30,G10&gt;[1]Aux!$E$31),[1]Aux!$F$31,IF(AND(G10&lt;[1]Aux!$E$31,G10&gt;[1]Aux!$E$32),[1]Aux!$F$32,IF(AND(G10&lt;[1]Aux!$E$32,G10&gt;[1]Aux!$E$33),[1]Aux!$F$33,IF(AND(G10&lt;[1]Aux!$E$33,G10&gt;[1]Aux!$E$34),[1]Aux!$F$34,IF(AND(G10&lt;[1]Aux!$E$34,G10&gt;[1]Aux!$E$35),[1]Aux!$F$35,IF(AND(G10&lt;[1]Aux!$E$35,G10&gt;[1]Aux!$E$36),[1]Aux!$F$36,IF(G10&lt;[1]Aux!$E$36,0,"Verificar")))))))))</f>
        <v>0</v>
      </c>
    </row>
    <row r="11" spans="1:13" s="27" customFormat="1" x14ac:dyDescent="0.25">
      <c r="A11" s="19" t="s">
        <v>23</v>
      </c>
      <c r="B11" s="20" t="s">
        <v>14</v>
      </c>
      <c r="C11" s="20" t="s">
        <v>19</v>
      </c>
      <c r="D11" s="20">
        <v>0.05</v>
      </c>
      <c r="E11" s="28">
        <v>14996000000</v>
      </c>
      <c r="F11" s="28">
        <v>5640812286.3299999</v>
      </c>
      <c r="G11" s="22">
        <f t="shared" si="3"/>
        <v>0.37615446027807414</v>
      </c>
      <c r="H11" s="20">
        <f t="shared" si="1"/>
        <v>0</v>
      </c>
      <c r="I11" s="20"/>
      <c r="J11" s="23">
        <v>46143</v>
      </c>
      <c r="K11" s="24" t="s">
        <v>16</v>
      </c>
      <c r="L11" s="25" t="s">
        <v>17</v>
      </c>
      <c r="M11" s="26">
        <f>IF(G11&gt;=[1]Aux!$E$29,[1]Aux!$F$29,IF(AND(G11&lt;[1]Aux!$E$29,G11&gt;[1]Aux!$E$30),[1]Aux!$F$30,IF(AND(G11&lt;[1]Aux!$E$30,G11&gt;[1]Aux!$E$31),[1]Aux!$F$31,IF(AND(G11&lt;[1]Aux!$E$31,G11&gt;[1]Aux!$E$32),[1]Aux!$F$32,IF(AND(G11&lt;[1]Aux!$E$32,G11&gt;[1]Aux!$E$33),[1]Aux!$F$33,IF(AND(G11&lt;[1]Aux!$E$33,G11&gt;[1]Aux!$E$34),[1]Aux!$F$34,IF(AND(G11&lt;[1]Aux!$E$34,G11&gt;[1]Aux!$E$35),[1]Aux!$F$35,IF(AND(G11&lt;[1]Aux!$E$35,G11&gt;[1]Aux!$E$36),[1]Aux!$F$36,IF(G11&lt;[1]Aux!$E$36,0,"Verificar")))))))))</f>
        <v>0</v>
      </c>
    </row>
    <row r="12" spans="1:13" s="27" customFormat="1" x14ac:dyDescent="0.25">
      <c r="A12" s="19" t="s">
        <v>24</v>
      </c>
      <c r="B12" s="20" t="s">
        <v>14</v>
      </c>
      <c r="C12" s="20" t="s">
        <v>15</v>
      </c>
      <c r="D12" s="20">
        <v>0.05</v>
      </c>
      <c r="E12" s="20">
        <v>58</v>
      </c>
      <c r="F12" s="29">
        <v>0</v>
      </c>
      <c r="G12" s="22">
        <f t="shared" ref="G12:G15" si="4">IFERROR(F12/E12,0)</f>
        <v>0</v>
      </c>
      <c r="H12" s="20">
        <f t="shared" si="1"/>
        <v>0</v>
      </c>
      <c r="I12" s="20"/>
      <c r="J12" s="23" t="s">
        <v>25</v>
      </c>
      <c r="K12" s="24" t="s">
        <v>16</v>
      </c>
      <c r="L12" s="25" t="s">
        <v>26</v>
      </c>
      <c r="M12" s="26">
        <f>IF(G12&gt;=[1]Aux!$E$29,[1]Aux!$F$29,IF(AND(G12&lt;[1]Aux!$E$29,G12&gt;[1]Aux!$E$30),[1]Aux!$F$30,IF(AND(G12&lt;[1]Aux!$E$30,G12&gt;[1]Aux!$E$31),[1]Aux!$F$31,IF(AND(G12&lt;[1]Aux!$E$31,G12&gt;[1]Aux!$E$32),[1]Aux!$F$32,IF(AND(G12&lt;[1]Aux!$E$32,G12&gt;[1]Aux!$E$33),[1]Aux!$F$33,IF(AND(G12&lt;[1]Aux!$E$33,G12&gt;[1]Aux!$E$34),[1]Aux!$F$34,IF(AND(G12&lt;[1]Aux!$E$34,G12&gt;[1]Aux!$E$35),[1]Aux!$F$35,IF(AND(G12&lt;[1]Aux!$E$35,G12&gt;[1]Aux!$E$36),[1]Aux!$F$36,IF(G12&lt;[1]Aux!$E$36,0,"Verificar")))))))))</f>
        <v>0</v>
      </c>
    </row>
    <row r="13" spans="1:13" s="27" customFormat="1" x14ac:dyDescent="0.25">
      <c r="A13" s="19" t="s">
        <v>24</v>
      </c>
      <c r="B13" s="20" t="s">
        <v>14</v>
      </c>
      <c r="C13" s="20" t="s">
        <v>18</v>
      </c>
      <c r="D13" s="20">
        <v>0.05</v>
      </c>
      <c r="E13" s="20">
        <v>58</v>
      </c>
      <c r="F13" s="29">
        <v>0</v>
      </c>
      <c r="G13" s="22">
        <f t="shared" si="4"/>
        <v>0</v>
      </c>
      <c r="H13" s="20">
        <f t="shared" si="1"/>
        <v>0</v>
      </c>
      <c r="I13" s="20"/>
      <c r="J13" s="23" t="s">
        <v>25</v>
      </c>
      <c r="K13" s="24" t="s">
        <v>16</v>
      </c>
      <c r="L13" s="25" t="s">
        <v>26</v>
      </c>
      <c r="M13" s="26">
        <f>IF(G13&gt;=[1]Aux!$E$29,[1]Aux!$F$29,IF(AND(G13&lt;[1]Aux!$E$29,G13&gt;[1]Aux!$E$30),[1]Aux!$F$30,IF(AND(G13&lt;[1]Aux!$E$30,G13&gt;[1]Aux!$E$31),[1]Aux!$F$31,IF(AND(G13&lt;[1]Aux!$E$31,G13&gt;[1]Aux!$E$32),[1]Aux!$F$32,IF(AND(G13&lt;[1]Aux!$E$32,G13&gt;[1]Aux!$E$33),[1]Aux!$F$33,IF(AND(G13&lt;[1]Aux!$E$33,G13&gt;[1]Aux!$E$34),[1]Aux!$F$34,IF(AND(G13&lt;[1]Aux!$E$34,G13&gt;[1]Aux!$E$35),[1]Aux!$F$35,IF(AND(G13&lt;[1]Aux!$E$35,G13&gt;[1]Aux!$E$36),[1]Aux!$F$36,IF(G13&lt;[1]Aux!$E$36,0,"Verificar")))))))))</f>
        <v>0</v>
      </c>
    </row>
    <row r="14" spans="1:13" s="27" customFormat="1" x14ac:dyDescent="0.25">
      <c r="A14" s="19" t="s">
        <v>24</v>
      </c>
      <c r="B14" s="20" t="s">
        <v>14</v>
      </c>
      <c r="C14" s="20" t="s">
        <v>19</v>
      </c>
      <c r="D14" s="20">
        <v>0.05</v>
      </c>
      <c r="E14" s="20">
        <v>58</v>
      </c>
      <c r="F14" s="29">
        <v>0</v>
      </c>
      <c r="G14" s="22">
        <f t="shared" si="4"/>
        <v>0</v>
      </c>
      <c r="H14" s="20">
        <f t="shared" si="1"/>
        <v>0</v>
      </c>
      <c r="I14" s="20"/>
      <c r="J14" s="23" t="s">
        <v>25</v>
      </c>
      <c r="K14" s="24" t="s">
        <v>16</v>
      </c>
      <c r="L14" s="25" t="s">
        <v>26</v>
      </c>
      <c r="M14" s="26">
        <f>IF(G14&gt;=[1]Aux!$E$29,[1]Aux!$F$29,IF(AND(G14&lt;[1]Aux!$E$29,G14&gt;[1]Aux!$E$30),[1]Aux!$F$30,IF(AND(G14&lt;[1]Aux!$E$30,G14&gt;[1]Aux!$E$31),[1]Aux!$F$31,IF(AND(G14&lt;[1]Aux!$E$31,G14&gt;[1]Aux!$E$32),[1]Aux!$F$32,IF(AND(G14&lt;[1]Aux!$E$32,G14&gt;[1]Aux!$E$33),[1]Aux!$F$33,IF(AND(G14&lt;[1]Aux!$E$33,G14&gt;[1]Aux!$E$34),[1]Aux!$F$34,IF(AND(G14&lt;[1]Aux!$E$34,G14&gt;[1]Aux!$E$35),[1]Aux!$F$35,IF(AND(G14&lt;[1]Aux!$E$35,G14&gt;[1]Aux!$E$36),[1]Aux!$F$36,IF(G14&lt;[1]Aux!$E$36,0,"Verificar")))))))))</f>
        <v>0</v>
      </c>
    </row>
    <row r="15" spans="1:13" s="27" customFormat="1" x14ac:dyDescent="0.25">
      <c r="A15" s="19" t="s">
        <v>24</v>
      </c>
      <c r="B15" s="20" t="s">
        <v>14</v>
      </c>
      <c r="C15" s="20" t="s">
        <v>22</v>
      </c>
      <c r="D15" s="20">
        <v>0.05</v>
      </c>
      <c r="E15" s="20">
        <v>58</v>
      </c>
      <c r="F15" s="29">
        <v>0</v>
      </c>
      <c r="G15" s="22">
        <f t="shared" si="4"/>
        <v>0</v>
      </c>
      <c r="H15" s="20">
        <f t="shared" si="1"/>
        <v>0</v>
      </c>
      <c r="I15" s="20"/>
      <c r="J15" s="23" t="s">
        <v>25</v>
      </c>
      <c r="K15" s="24" t="s">
        <v>16</v>
      </c>
      <c r="L15" s="25" t="s">
        <v>26</v>
      </c>
      <c r="M15" s="26">
        <f>IF(G15&gt;=[1]Aux!$E$29,[1]Aux!$F$29,IF(AND(G15&lt;[1]Aux!$E$29,G15&gt;[1]Aux!$E$30),[1]Aux!$F$30,IF(AND(G15&lt;[1]Aux!$E$30,G15&gt;[1]Aux!$E$31),[1]Aux!$F$31,IF(AND(G15&lt;[1]Aux!$E$31,G15&gt;[1]Aux!$E$32),[1]Aux!$F$32,IF(AND(G15&lt;[1]Aux!$E$32,G15&gt;[1]Aux!$E$33),[1]Aux!$F$33,IF(AND(G15&lt;[1]Aux!$E$33,G15&gt;[1]Aux!$E$34),[1]Aux!$F$34,IF(AND(G15&lt;[1]Aux!$E$34,G15&gt;[1]Aux!$E$35),[1]Aux!$F$35,IF(AND(G15&lt;[1]Aux!$E$35,G15&gt;[1]Aux!$E$36),[1]Aux!$F$36,IF(G15&lt;[1]Aux!$E$36,0,"Verificar")))))))))</f>
        <v>0</v>
      </c>
    </row>
    <row r="16" spans="1:13" x14ac:dyDescent="0.25">
      <c r="A16" s="3" t="s">
        <v>27</v>
      </c>
      <c r="B16" s="4" t="s">
        <v>14</v>
      </c>
      <c r="C16" s="4" t="s">
        <v>15</v>
      </c>
      <c r="D16" s="4">
        <v>0.05</v>
      </c>
      <c r="E16" s="4">
        <v>5.2600000000000001E-2</v>
      </c>
      <c r="F16" s="13">
        <v>3.6999999999999998E-2</v>
      </c>
      <c r="G16" s="4">
        <f>1-((F16-E16)/(1-E16))</f>
        <v>1.0164661177960734</v>
      </c>
      <c r="H16" s="4">
        <f t="shared" si="1"/>
        <v>0.05</v>
      </c>
      <c r="I16" s="4"/>
      <c r="J16" s="7">
        <v>46143</v>
      </c>
      <c r="K16" s="8" t="s">
        <v>16</v>
      </c>
      <c r="L16" s="9" t="s">
        <v>21</v>
      </c>
      <c r="M16" s="10">
        <f>IF(G16&gt;=[1]Aux!$E$29,[1]Aux!$F$29,IF(AND(G16&lt;[1]Aux!$E$29,G16&gt;[1]Aux!$E$30),[1]Aux!$F$30,IF(AND(G16&lt;[1]Aux!$E$30,G16&gt;[1]Aux!$E$31),[1]Aux!$F$31,IF(AND(G16&lt;[1]Aux!$E$31,G16&gt;[1]Aux!$E$32),[1]Aux!$F$32,IF(AND(G16&lt;[1]Aux!$E$32,G16&gt;[1]Aux!$E$33),[1]Aux!$F$33,IF(AND(G16&lt;[1]Aux!$E$33,G16&gt;[1]Aux!$E$34),[1]Aux!$F$34,IF(AND(G16&lt;[1]Aux!$E$34,G16&gt;[1]Aux!$E$35),[1]Aux!$F$35,IF(AND(G16&lt;[1]Aux!$E$35,G16&gt;[1]Aux!$E$36),[1]Aux!$F$36,IF(G16&lt;[1]Aux!$E$36,0,"Verificar")))))))))</f>
        <v>1</v>
      </c>
    </row>
    <row r="17" spans="1:13" x14ac:dyDescent="0.25">
      <c r="A17" s="3" t="s">
        <v>27</v>
      </c>
      <c r="B17" s="4" t="s">
        <v>14</v>
      </c>
      <c r="C17" s="4" t="s">
        <v>18</v>
      </c>
      <c r="D17" s="4">
        <v>0.05</v>
      </c>
      <c r="E17" s="4">
        <v>5.2600000000000001E-2</v>
      </c>
      <c r="F17" s="13">
        <v>3.6999999999999998E-2</v>
      </c>
      <c r="G17" s="4">
        <f t="shared" ref="G17:G19" si="5">1-((F17-E17)/(1-E17))</f>
        <v>1.0164661177960734</v>
      </c>
      <c r="H17" s="4">
        <f t="shared" si="1"/>
        <v>0.05</v>
      </c>
      <c r="I17" s="4"/>
      <c r="J17" s="7">
        <v>46143</v>
      </c>
      <c r="K17" s="8" t="s">
        <v>16</v>
      </c>
      <c r="L17" s="9" t="s">
        <v>21</v>
      </c>
      <c r="M17" s="10">
        <f>IF(G17&gt;=[1]Aux!$E$29,[1]Aux!$F$29,IF(AND(G17&lt;[1]Aux!$E$29,G17&gt;[1]Aux!$E$30),[1]Aux!$F$30,IF(AND(G17&lt;[1]Aux!$E$30,G17&gt;[1]Aux!$E$31),[1]Aux!$F$31,IF(AND(G17&lt;[1]Aux!$E$31,G17&gt;[1]Aux!$E$32),[1]Aux!$F$32,IF(AND(G17&lt;[1]Aux!$E$32,G17&gt;[1]Aux!$E$33),[1]Aux!$F$33,IF(AND(G17&lt;[1]Aux!$E$33,G17&gt;[1]Aux!$E$34),[1]Aux!$F$34,IF(AND(G17&lt;[1]Aux!$E$34,G17&gt;[1]Aux!$E$35),[1]Aux!$F$35,IF(AND(G17&lt;[1]Aux!$E$35,G17&gt;[1]Aux!$E$36),[1]Aux!$F$36,IF(G17&lt;[1]Aux!$E$36,0,"Verificar")))))))))</f>
        <v>1</v>
      </c>
    </row>
    <row r="18" spans="1:13" x14ac:dyDescent="0.25">
      <c r="A18" s="3" t="s">
        <v>27</v>
      </c>
      <c r="B18" s="4" t="s">
        <v>14</v>
      </c>
      <c r="C18" s="4" t="s">
        <v>19</v>
      </c>
      <c r="D18" s="4">
        <v>0.05</v>
      </c>
      <c r="E18" s="4">
        <v>5.2600000000000001E-2</v>
      </c>
      <c r="F18" s="13">
        <v>3.6999999999999998E-2</v>
      </c>
      <c r="G18" s="4">
        <f t="shared" si="5"/>
        <v>1.0164661177960734</v>
      </c>
      <c r="H18" s="4">
        <f t="shared" si="1"/>
        <v>0.05</v>
      </c>
      <c r="I18" s="4"/>
      <c r="J18" s="7">
        <v>46143</v>
      </c>
      <c r="K18" s="8" t="s">
        <v>16</v>
      </c>
      <c r="L18" s="9" t="s">
        <v>21</v>
      </c>
      <c r="M18" s="10">
        <f>IF(G18&gt;=[1]Aux!$E$29,[1]Aux!$F$29,IF(AND(G18&lt;[1]Aux!$E$29,G18&gt;[1]Aux!$E$30),[1]Aux!$F$30,IF(AND(G18&lt;[1]Aux!$E$30,G18&gt;[1]Aux!$E$31),[1]Aux!$F$31,IF(AND(G18&lt;[1]Aux!$E$31,G18&gt;[1]Aux!$E$32),[1]Aux!$F$32,IF(AND(G18&lt;[1]Aux!$E$32,G18&gt;[1]Aux!$E$33),[1]Aux!$F$33,IF(AND(G18&lt;[1]Aux!$E$33,G18&gt;[1]Aux!$E$34),[1]Aux!$F$34,IF(AND(G18&lt;[1]Aux!$E$34,G18&gt;[1]Aux!$E$35),[1]Aux!$F$35,IF(AND(G18&lt;[1]Aux!$E$35,G18&gt;[1]Aux!$E$36),[1]Aux!$F$36,IF(G18&lt;[1]Aux!$E$36,0,"Verificar")))))))))</f>
        <v>1</v>
      </c>
    </row>
    <row r="19" spans="1:13" x14ac:dyDescent="0.25">
      <c r="A19" s="3" t="s">
        <v>27</v>
      </c>
      <c r="B19" s="4" t="s">
        <v>14</v>
      </c>
      <c r="C19" s="4" t="s">
        <v>22</v>
      </c>
      <c r="D19" s="4">
        <v>0.05</v>
      </c>
      <c r="E19" s="4">
        <v>5.2600000000000001E-2</v>
      </c>
      <c r="F19" s="13">
        <v>3.6999999999999998E-2</v>
      </c>
      <c r="G19" s="4">
        <f t="shared" si="5"/>
        <v>1.0164661177960734</v>
      </c>
      <c r="H19" s="4">
        <f t="shared" si="1"/>
        <v>0.05</v>
      </c>
      <c r="I19" s="4"/>
      <c r="J19" s="7">
        <v>46143</v>
      </c>
      <c r="K19" s="8" t="s">
        <v>16</v>
      </c>
      <c r="L19" s="9" t="s">
        <v>21</v>
      </c>
      <c r="M19" s="10">
        <f>IF(G19&gt;=[1]Aux!$E$29,[1]Aux!$F$29,IF(AND(G19&lt;[1]Aux!$E$29,G19&gt;[1]Aux!$E$30),[1]Aux!$F$30,IF(AND(G19&lt;[1]Aux!$E$30,G19&gt;[1]Aux!$E$31),[1]Aux!$F$31,IF(AND(G19&lt;[1]Aux!$E$31,G19&gt;[1]Aux!$E$32),[1]Aux!$F$32,IF(AND(G19&lt;[1]Aux!$E$32,G19&gt;[1]Aux!$E$33),[1]Aux!$F$33,IF(AND(G19&lt;[1]Aux!$E$33,G19&gt;[1]Aux!$E$34),[1]Aux!$F$34,IF(AND(G19&lt;[1]Aux!$E$34,G19&gt;[1]Aux!$E$35),[1]Aux!$F$35,IF(AND(G19&lt;[1]Aux!$E$35,G19&gt;[1]Aux!$E$36),[1]Aux!$F$36,IF(G19&lt;[1]Aux!$E$36,0,"Verificar")))))))))</f>
        <v>1</v>
      </c>
    </row>
    <row r="20" spans="1:13" x14ac:dyDescent="0.25">
      <c r="A20" s="3" t="s">
        <v>28</v>
      </c>
      <c r="B20" s="4" t="s">
        <v>14</v>
      </c>
      <c r="C20" s="4" t="s">
        <v>18</v>
      </c>
      <c r="D20" s="4">
        <v>0.1</v>
      </c>
      <c r="E20" s="12">
        <v>853858000</v>
      </c>
      <c r="F20" s="12">
        <v>348500290.44</v>
      </c>
      <c r="G20" s="6">
        <f t="shared" ref="G20:G24" si="6">F20/E20</f>
        <v>0.40814783071658284</v>
      </c>
      <c r="H20" s="4">
        <f t="shared" si="1"/>
        <v>0</v>
      </c>
      <c r="I20" s="4"/>
      <c r="J20" s="7">
        <v>46143</v>
      </c>
      <c r="K20" s="8" t="s">
        <v>16</v>
      </c>
      <c r="L20" s="9" t="s">
        <v>17</v>
      </c>
      <c r="M20" s="10">
        <f>IF(G20&gt;=[1]Aux!$E$29,[1]Aux!$F$29,IF(AND(G20&lt;[1]Aux!$E$29,G20&gt;[1]Aux!$E$30),[1]Aux!$F$30,IF(AND(G20&lt;[1]Aux!$E$30,G20&gt;[1]Aux!$E$31),[1]Aux!$F$31,IF(AND(G20&lt;[1]Aux!$E$31,G20&gt;[1]Aux!$E$32),[1]Aux!$F$32,IF(AND(G20&lt;[1]Aux!$E$32,G20&gt;[1]Aux!$E$33),[1]Aux!$F$33,IF(AND(G20&lt;[1]Aux!$E$33,G20&gt;[1]Aux!$E$34),[1]Aux!$F$34,IF(AND(G20&lt;[1]Aux!$E$34,G20&gt;[1]Aux!$E$35),[1]Aux!$F$35,IF(AND(G20&lt;[1]Aux!$E$35,G20&gt;[1]Aux!$E$36),[1]Aux!$F$36,IF(G20&lt;[1]Aux!$E$36,0,"Verificar")))))))))</f>
        <v>0</v>
      </c>
    </row>
    <row r="21" spans="1:13" x14ac:dyDescent="0.25">
      <c r="A21" s="3" t="s">
        <v>29</v>
      </c>
      <c r="B21" s="4" t="s">
        <v>14</v>
      </c>
      <c r="C21" s="4" t="s">
        <v>19</v>
      </c>
      <c r="D21" s="4">
        <v>0.15</v>
      </c>
      <c r="E21" s="12">
        <v>1.6</v>
      </c>
      <c r="F21" s="4">
        <v>1.1262000000000001</v>
      </c>
      <c r="G21" s="6">
        <f t="shared" si="6"/>
        <v>0.70387500000000003</v>
      </c>
      <c r="H21" s="4">
        <f t="shared" si="1"/>
        <v>0</v>
      </c>
      <c r="I21" s="4"/>
      <c r="J21" s="7">
        <v>46143</v>
      </c>
      <c r="K21" s="8" t="s">
        <v>16</v>
      </c>
      <c r="L21" s="9" t="s">
        <v>21</v>
      </c>
      <c r="M21" s="10">
        <f>IF(G21&gt;=[1]Aux!$E$29,[1]Aux!$F$29,IF(AND(G21&lt;[1]Aux!$E$29,G21&gt;[1]Aux!$E$30),[1]Aux!$F$30,IF(AND(G21&lt;[1]Aux!$E$30,G21&gt;[1]Aux!$E$31),[1]Aux!$F$31,IF(AND(G21&lt;[1]Aux!$E$31,G21&gt;[1]Aux!$E$32),[1]Aux!$F$32,IF(AND(G21&lt;[1]Aux!$E$32,G21&gt;[1]Aux!$E$33),[1]Aux!$F$33,IF(AND(G21&lt;[1]Aux!$E$33,G21&gt;[1]Aux!$E$34),[1]Aux!$F$34,IF(AND(G21&lt;[1]Aux!$E$34,G21&gt;[1]Aux!$E$35),[1]Aux!$F$35,IF(AND(G21&lt;[1]Aux!$E$35,G21&gt;[1]Aux!$E$36),[1]Aux!$F$36,IF(G21&lt;[1]Aux!$E$36,0,"Verificar")))))))))</f>
        <v>0</v>
      </c>
    </row>
    <row r="22" spans="1:13" x14ac:dyDescent="0.25">
      <c r="A22" s="3" t="s">
        <v>30</v>
      </c>
      <c r="B22" s="4" t="s">
        <v>14</v>
      </c>
      <c r="C22" s="4" t="s">
        <v>22</v>
      </c>
      <c r="D22" s="4">
        <v>0.15</v>
      </c>
      <c r="E22" s="12">
        <v>1</v>
      </c>
      <c r="F22" s="4">
        <v>1</v>
      </c>
      <c r="G22" s="6">
        <f t="shared" si="6"/>
        <v>1</v>
      </c>
      <c r="H22" s="4">
        <f t="shared" si="1"/>
        <v>0.15</v>
      </c>
      <c r="I22" s="4"/>
      <c r="J22" s="7">
        <v>46143</v>
      </c>
      <c r="K22" s="8" t="s">
        <v>16</v>
      </c>
      <c r="L22" s="9" t="s">
        <v>21</v>
      </c>
      <c r="M22" s="10">
        <f>IF(G22&gt;=[1]Aux!$E$29,[1]Aux!$F$29,IF(AND(G22&lt;[1]Aux!$E$29,G22&gt;[1]Aux!$E$30),[1]Aux!$F$30,IF(AND(G22&lt;[1]Aux!$E$30,G22&gt;[1]Aux!$E$31),[1]Aux!$F$31,IF(AND(G22&lt;[1]Aux!$E$31,G22&gt;[1]Aux!$E$32),[1]Aux!$F$32,IF(AND(G22&lt;[1]Aux!$E$32,G22&gt;[1]Aux!$E$33),[1]Aux!$F$33,IF(AND(G22&lt;[1]Aux!$E$33,G22&gt;[1]Aux!$E$34),[1]Aux!$F$34,IF(AND(G22&lt;[1]Aux!$E$34,G22&gt;[1]Aux!$E$35),[1]Aux!$F$35,IF(AND(G22&lt;[1]Aux!$E$35,G22&gt;[1]Aux!$E$36),[1]Aux!$F$36,IF(G22&lt;[1]Aux!$E$36,0,"Verificar")))))))))</f>
        <v>1</v>
      </c>
    </row>
    <row r="23" spans="1:13" x14ac:dyDescent="0.25">
      <c r="A23" s="3" t="s">
        <v>31</v>
      </c>
      <c r="B23" s="4" t="s">
        <v>14</v>
      </c>
      <c r="C23" s="4" t="s">
        <v>22</v>
      </c>
      <c r="D23" s="4">
        <v>0.15</v>
      </c>
      <c r="E23" s="12">
        <v>1</v>
      </c>
      <c r="F23" s="4">
        <v>0.25</v>
      </c>
      <c r="G23" s="6">
        <f t="shared" si="6"/>
        <v>0.25</v>
      </c>
      <c r="H23" s="4">
        <f t="shared" si="1"/>
        <v>0</v>
      </c>
      <c r="I23" s="4"/>
      <c r="J23" s="7">
        <v>46143</v>
      </c>
      <c r="K23" s="8" t="s">
        <v>16</v>
      </c>
      <c r="L23" s="9" t="s">
        <v>21</v>
      </c>
      <c r="M23" s="10">
        <f>IF(G23&gt;=[1]Aux!$E$29,[1]Aux!$F$29,IF(AND(G23&lt;[1]Aux!$E$29,G23&gt;[1]Aux!$E$30),[1]Aux!$F$30,IF(AND(G23&lt;[1]Aux!$E$30,G23&gt;[1]Aux!$E$31),[1]Aux!$F$31,IF(AND(G23&lt;[1]Aux!$E$31,G23&gt;[1]Aux!$E$32),[1]Aux!$F$32,IF(AND(G23&lt;[1]Aux!$E$32,G23&gt;[1]Aux!$E$33),[1]Aux!$F$33,IF(AND(G23&lt;[1]Aux!$E$33,G23&gt;[1]Aux!$E$34),[1]Aux!$F$34,IF(AND(G23&lt;[1]Aux!$E$34,G23&gt;[1]Aux!$E$35),[1]Aux!$F$35,IF(AND(G23&lt;[1]Aux!$E$35,G23&gt;[1]Aux!$E$36),[1]Aux!$F$36,IF(G23&lt;[1]Aux!$E$36,0,"Verificar")))))))))</f>
        <v>0</v>
      </c>
    </row>
    <row r="24" spans="1:13" x14ac:dyDescent="0.25">
      <c r="A24" s="3" t="s">
        <v>32</v>
      </c>
      <c r="B24" s="4" t="s">
        <v>14</v>
      </c>
      <c r="C24" s="4" t="s">
        <v>22</v>
      </c>
      <c r="D24" s="4">
        <v>0.1</v>
      </c>
      <c r="E24" s="14">
        <v>1</v>
      </c>
      <c r="F24" s="4">
        <v>0.4</v>
      </c>
      <c r="G24" s="6">
        <f t="shared" si="6"/>
        <v>0.4</v>
      </c>
      <c r="H24" s="4">
        <f t="shared" si="1"/>
        <v>0</v>
      </c>
      <c r="I24" s="4"/>
      <c r="J24" s="7">
        <v>46143</v>
      </c>
      <c r="K24" s="8" t="s">
        <v>16</v>
      </c>
      <c r="L24" s="9" t="s">
        <v>21</v>
      </c>
      <c r="M24" s="10">
        <f>IF(G24&gt;=[1]Aux!$E$29,[1]Aux!$F$29,IF(AND(G24&lt;[1]Aux!$E$29,G24&gt;[1]Aux!$E$30),[1]Aux!$F$30,IF(AND(G24&lt;[1]Aux!$E$30,G24&gt;[1]Aux!$E$31),[1]Aux!$F$31,IF(AND(G24&lt;[1]Aux!$E$31,G24&gt;[1]Aux!$E$32),[1]Aux!$F$32,IF(AND(G24&lt;[1]Aux!$E$32,G24&gt;[1]Aux!$E$33),[1]Aux!$F$33,IF(AND(G24&lt;[1]Aux!$E$33,G24&gt;[1]Aux!$E$34),[1]Aux!$F$34,IF(AND(G24&lt;[1]Aux!$E$34,G24&gt;[1]Aux!$E$35),[1]Aux!$F$35,IF(AND(G24&lt;[1]Aux!$E$35,G24&gt;[1]Aux!$E$36),[1]Aux!$F$36,IF(G24&lt;[1]Aux!$E$36,0,"Verificar")))))))))</f>
        <v>0</v>
      </c>
    </row>
    <row r="25" spans="1:13" x14ac:dyDescent="0.25">
      <c r="A25" s="3" t="s">
        <v>33</v>
      </c>
      <c r="B25" s="4" t="s">
        <v>34</v>
      </c>
      <c r="C25" s="4" t="s">
        <v>15</v>
      </c>
      <c r="D25" s="4">
        <v>0.1</v>
      </c>
      <c r="E25" s="4" t="s">
        <v>35</v>
      </c>
      <c r="F25" s="4"/>
      <c r="G25" s="6">
        <f>IFERROR(F25/E25,0)</f>
        <v>0</v>
      </c>
      <c r="H25" s="4">
        <f t="shared" si="1"/>
        <v>0</v>
      </c>
      <c r="I25" s="4"/>
      <c r="J25" s="7" t="s">
        <v>25</v>
      </c>
      <c r="K25" s="8" t="s">
        <v>16</v>
      </c>
      <c r="L25" s="4" t="s">
        <v>35</v>
      </c>
      <c r="M25" s="10">
        <f>IF(G25&gt;=[1]Aux!$E$29,[1]Aux!$F$29,IF(AND(G25&lt;[1]Aux!$E$29,G25&gt;[1]Aux!$E$30),[1]Aux!$F$30,IF(AND(G25&lt;[1]Aux!$E$30,G25&gt;[1]Aux!$E$31),[1]Aux!$F$31,IF(AND(G25&lt;[1]Aux!$E$31,G25&gt;[1]Aux!$E$32),[1]Aux!$F$32,IF(AND(G25&lt;[1]Aux!$E$32,G25&gt;[1]Aux!$E$33),[1]Aux!$F$33,IF(AND(G25&lt;[1]Aux!$E$33,G25&gt;[1]Aux!$E$34),[1]Aux!$F$34,IF(AND(G25&lt;[1]Aux!$E$34,G25&gt;[1]Aux!$E$35),[1]Aux!$F$35,IF(AND(G25&lt;[1]Aux!$E$35,G25&gt;[1]Aux!$E$36),[1]Aux!$F$36,IF(G25&lt;[1]Aux!$E$36,0,"Verificar")))))))))</f>
        <v>0</v>
      </c>
    </row>
    <row r="26" spans="1:13" x14ac:dyDescent="0.25">
      <c r="A26" s="3" t="s">
        <v>33</v>
      </c>
      <c r="B26" s="4" t="s">
        <v>34</v>
      </c>
      <c r="C26" s="4" t="s">
        <v>18</v>
      </c>
      <c r="D26" s="4">
        <v>0.1</v>
      </c>
      <c r="E26" s="4" t="s">
        <v>35</v>
      </c>
      <c r="F26" s="4"/>
      <c r="G26" s="6">
        <f t="shared" ref="G26:G48" si="7">IFERROR(F26/E26,0)</f>
        <v>0</v>
      </c>
      <c r="H26" s="4">
        <f t="shared" si="1"/>
        <v>0</v>
      </c>
      <c r="I26" s="4"/>
      <c r="J26" s="7" t="s">
        <v>25</v>
      </c>
      <c r="K26" s="8" t="s">
        <v>16</v>
      </c>
      <c r="L26" s="4" t="s">
        <v>35</v>
      </c>
      <c r="M26" s="10">
        <f>IF(G26&gt;=[1]Aux!$E$29,[1]Aux!$F$29,IF(AND(G26&lt;[1]Aux!$E$29,G26&gt;[1]Aux!$E$30),[1]Aux!$F$30,IF(AND(G26&lt;[1]Aux!$E$30,G26&gt;[1]Aux!$E$31),[1]Aux!$F$31,IF(AND(G26&lt;[1]Aux!$E$31,G26&gt;[1]Aux!$E$32),[1]Aux!$F$32,IF(AND(G26&lt;[1]Aux!$E$32,G26&gt;[1]Aux!$E$33),[1]Aux!$F$33,IF(AND(G26&lt;[1]Aux!$E$33,G26&gt;[1]Aux!$E$34),[1]Aux!$F$34,IF(AND(G26&lt;[1]Aux!$E$34,G26&gt;[1]Aux!$E$35),[1]Aux!$F$35,IF(AND(G26&lt;[1]Aux!$E$35,G26&gt;[1]Aux!$E$36),[1]Aux!$F$36,IF(G26&lt;[1]Aux!$E$36,0,"Verificar")))))))))</f>
        <v>0</v>
      </c>
    </row>
    <row r="27" spans="1:13" x14ac:dyDescent="0.25">
      <c r="A27" s="3" t="s">
        <v>33</v>
      </c>
      <c r="B27" s="4" t="s">
        <v>34</v>
      </c>
      <c r="C27" s="4" t="s">
        <v>19</v>
      </c>
      <c r="D27" s="4">
        <v>0.1</v>
      </c>
      <c r="E27" s="4" t="s">
        <v>35</v>
      </c>
      <c r="F27" s="4"/>
      <c r="G27" s="6">
        <f t="shared" si="7"/>
        <v>0</v>
      </c>
      <c r="H27" s="4">
        <f t="shared" si="1"/>
        <v>0</v>
      </c>
      <c r="I27" s="4"/>
      <c r="J27" s="7" t="s">
        <v>25</v>
      </c>
      <c r="K27" s="8" t="s">
        <v>16</v>
      </c>
      <c r="L27" s="4" t="s">
        <v>35</v>
      </c>
      <c r="M27" s="10">
        <f>IF(G27&gt;=[1]Aux!$E$29,[1]Aux!$F$29,IF(AND(G27&lt;[1]Aux!$E$29,G27&gt;[1]Aux!$E$30),[1]Aux!$F$30,IF(AND(G27&lt;[1]Aux!$E$30,G27&gt;[1]Aux!$E$31),[1]Aux!$F$31,IF(AND(G27&lt;[1]Aux!$E$31,G27&gt;[1]Aux!$E$32),[1]Aux!$F$32,IF(AND(G27&lt;[1]Aux!$E$32,G27&gt;[1]Aux!$E$33),[1]Aux!$F$33,IF(AND(G27&lt;[1]Aux!$E$33,G27&gt;[1]Aux!$E$34),[1]Aux!$F$34,IF(AND(G27&lt;[1]Aux!$E$34,G27&gt;[1]Aux!$E$35),[1]Aux!$F$35,IF(AND(G27&lt;[1]Aux!$E$35,G27&gt;[1]Aux!$E$36),[1]Aux!$F$36,IF(G27&lt;[1]Aux!$E$36,0,"Verificar")))))))))</f>
        <v>0</v>
      </c>
    </row>
    <row r="28" spans="1:13" x14ac:dyDescent="0.25">
      <c r="A28" s="3" t="s">
        <v>33</v>
      </c>
      <c r="B28" s="4" t="s">
        <v>34</v>
      </c>
      <c r="C28" s="4" t="s">
        <v>22</v>
      </c>
      <c r="D28" s="4">
        <v>0.1</v>
      </c>
      <c r="E28" s="4" t="s">
        <v>35</v>
      </c>
      <c r="F28" s="4"/>
      <c r="G28" s="6">
        <f t="shared" si="7"/>
        <v>0</v>
      </c>
      <c r="H28" s="4">
        <f t="shared" si="1"/>
        <v>0</v>
      </c>
      <c r="I28" s="4"/>
      <c r="J28" s="7" t="s">
        <v>25</v>
      </c>
      <c r="K28" s="8" t="s">
        <v>16</v>
      </c>
      <c r="L28" s="4" t="s">
        <v>35</v>
      </c>
      <c r="M28" s="10">
        <f>IF(G28&gt;=[1]Aux!$E$29,[1]Aux!$F$29,IF(AND(G28&lt;[1]Aux!$E$29,G28&gt;[1]Aux!$E$30),[1]Aux!$F$30,IF(AND(G28&lt;[1]Aux!$E$30,G28&gt;[1]Aux!$E$31),[1]Aux!$F$31,IF(AND(G28&lt;[1]Aux!$E$31,G28&gt;[1]Aux!$E$32),[1]Aux!$F$32,IF(AND(G28&lt;[1]Aux!$E$32,G28&gt;[1]Aux!$E$33),[1]Aux!$F$33,IF(AND(G28&lt;[1]Aux!$E$33,G28&gt;[1]Aux!$E$34),[1]Aux!$F$34,IF(AND(G28&lt;[1]Aux!$E$34,G28&gt;[1]Aux!$E$35),[1]Aux!$F$35,IF(AND(G28&lt;[1]Aux!$E$35,G28&gt;[1]Aux!$E$36),[1]Aux!$F$36,IF(G28&lt;[1]Aux!$E$36,0,"Verificar")))))))))</f>
        <v>0</v>
      </c>
    </row>
    <row r="29" spans="1:13" x14ac:dyDescent="0.25">
      <c r="A29" s="3" t="s">
        <v>36</v>
      </c>
      <c r="B29" s="4" t="s">
        <v>34</v>
      </c>
      <c r="C29" s="4" t="s">
        <v>15</v>
      </c>
      <c r="D29" s="4">
        <v>0.05</v>
      </c>
      <c r="E29" s="4" t="s">
        <v>35</v>
      </c>
      <c r="F29" s="4"/>
      <c r="G29" s="6">
        <f t="shared" si="7"/>
        <v>0</v>
      </c>
      <c r="H29" s="4">
        <f t="shared" si="1"/>
        <v>0</v>
      </c>
      <c r="I29" s="4"/>
      <c r="J29" s="7" t="s">
        <v>25</v>
      </c>
      <c r="K29" s="8" t="s">
        <v>16</v>
      </c>
      <c r="L29" s="4" t="s">
        <v>35</v>
      </c>
      <c r="M29" s="10">
        <f>IF(G29&gt;=[1]Aux!$E$29,[1]Aux!$F$29,IF(AND(G29&lt;[1]Aux!$E$29,G29&gt;[1]Aux!$E$30),[1]Aux!$F$30,IF(AND(G29&lt;[1]Aux!$E$30,G29&gt;[1]Aux!$E$31),[1]Aux!$F$31,IF(AND(G29&lt;[1]Aux!$E$31,G29&gt;[1]Aux!$E$32),[1]Aux!$F$32,IF(AND(G29&lt;[1]Aux!$E$32,G29&gt;[1]Aux!$E$33),[1]Aux!$F$33,IF(AND(G29&lt;[1]Aux!$E$33,G29&gt;[1]Aux!$E$34),[1]Aux!$F$34,IF(AND(G29&lt;[1]Aux!$E$34,G29&gt;[1]Aux!$E$35),[1]Aux!$F$35,IF(AND(G29&lt;[1]Aux!$E$35,G29&gt;[1]Aux!$E$36),[1]Aux!$F$36,IF(G29&lt;[1]Aux!$E$36,0,"Verificar")))))))))</f>
        <v>0</v>
      </c>
    </row>
    <row r="30" spans="1:13" x14ac:dyDescent="0.25">
      <c r="A30" s="3" t="s">
        <v>36</v>
      </c>
      <c r="B30" s="4" t="s">
        <v>34</v>
      </c>
      <c r="C30" s="4" t="s">
        <v>18</v>
      </c>
      <c r="D30" s="4">
        <v>0.05</v>
      </c>
      <c r="E30" s="4" t="s">
        <v>35</v>
      </c>
      <c r="F30" s="4"/>
      <c r="G30" s="6">
        <f t="shared" si="7"/>
        <v>0</v>
      </c>
      <c r="H30" s="4">
        <f t="shared" si="1"/>
        <v>0</v>
      </c>
      <c r="I30" s="4"/>
      <c r="J30" s="7" t="s">
        <v>25</v>
      </c>
      <c r="K30" s="8" t="s">
        <v>16</v>
      </c>
      <c r="L30" s="4" t="s">
        <v>35</v>
      </c>
      <c r="M30" s="10">
        <f>IF(G30&gt;=[1]Aux!$E$29,[1]Aux!$F$29,IF(AND(G30&lt;[1]Aux!$E$29,G30&gt;[1]Aux!$E$30),[1]Aux!$F$30,IF(AND(G30&lt;[1]Aux!$E$30,G30&gt;[1]Aux!$E$31),[1]Aux!$F$31,IF(AND(G30&lt;[1]Aux!$E$31,G30&gt;[1]Aux!$E$32),[1]Aux!$F$32,IF(AND(G30&lt;[1]Aux!$E$32,G30&gt;[1]Aux!$E$33),[1]Aux!$F$33,IF(AND(G30&lt;[1]Aux!$E$33,G30&gt;[1]Aux!$E$34),[1]Aux!$F$34,IF(AND(G30&lt;[1]Aux!$E$34,G30&gt;[1]Aux!$E$35),[1]Aux!$F$35,IF(AND(G30&lt;[1]Aux!$E$35,G30&gt;[1]Aux!$E$36),[1]Aux!$F$36,IF(G30&lt;[1]Aux!$E$36,0,"Verificar")))))))))</f>
        <v>0</v>
      </c>
    </row>
    <row r="31" spans="1:13" x14ac:dyDescent="0.25">
      <c r="A31" s="3" t="s">
        <v>36</v>
      </c>
      <c r="B31" s="4" t="s">
        <v>34</v>
      </c>
      <c r="C31" s="4" t="s">
        <v>19</v>
      </c>
      <c r="D31" s="4">
        <v>0.05</v>
      </c>
      <c r="E31" s="4" t="s">
        <v>35</v>
      </c>
      <c r="F31" s="4"/>
      <c r="G31" s="6">
        <f t="shared" si="7"/>
        <v>0</v>
      </c>
      <c r="H31" s="4">
        <f t="shared" si="1"/>
        <v>0</v>
      </c>
      <c r="I31" s="4"/>
      <c r="J31" s="7" t="s">
        <v>25</v>
      </c>
      <c r="K31" s="8" t="s">
        <v>16</v>
      </c>
      <c r="L31" s="4" t="s">
        <v>35</v>
      </c>
      <c r="M31" s="10">
        <f>IF(G31&gt;=[1]Aux!$E$29,[1]Aux!$F$29,IF(AND(G31&lt;[1]Aux!$E$29,G31&gt;[1]Aux!$E$30),[1]Aux!$F$30,IF(AND(G31&lt;[1]Aux!$E$30,G31&gt;[1]Aux!$E$31),[1]Aux!$F$31,IF(AND(G31&lt;[1]Aux!$E$31,G31&gt;[1]Aux!$E$32),[1]Aux!$F$32,IF(AND(G31&lt;[1]Aux!$E$32,G31&gt;[1]Aux!$E$33),[1]Aux!$F$33,IF(AND(G31&lt;[1]Aux!$E$33,G31&gt;[1]Aux!$E$34),[1]Aux!$F$34,IF(AND(G31&lt;[1]Aux!$E$34,G31&gt;[1]Aux!$E$35),[1]Aux!$F$35,IF(AND(G31&lt;[1]Aux!$E$35,G31&gt;[1]Aux!$E$36),[1]Aux!$F$36,IF(G31&lt;[1]Aux!$E$36,0,"Verificar")))))))))</f>
        <v>0</v>
      </c>
    </row>
    <row r="32" spans="1:13" x14ac:dyDescent="0.25">
      <c r="A32" s="3" t="s">
        <v>36</v>
      </c>
      <c r="B32" s="4" t="s">
        <v>34</v>
      </c>
      <c r="C32" s="4" t="s">
        <v>22</v>
      </c>
      <c r="D32" s="4">
        <v>0.05</v>
      </c>
      <c r="E32" s="4" t="s">
        <v>35</v>
      </c>
      <c r="F32" s="4"/>
      <c r="G32" s="6">
        <f t="shared" si="7"/>
        <v>0</v>
      </c>
      <c r="H32" s="4">
        <f t="shared" si="1"/>
        <v>0</v>
      </c>
      <c r="I32" s="4"/>
      <c r="J32" s="7" t="s">
        <v>25</v>
      </c>
      <c r="K32" s="8" t="s">
        <v>16</v>
      </c>
      <c r="L32" s="4" t="s">
        <v>35</v>
      </c>
      <c r="M32" s="10">
        <f>IF(G32&gt;=[1]Aux!$E$29,[1]Aux!$F$29,IF(AND(G32&lt;[1]Aux!$E$29,G32&gt;[1]Aux!$E$30),[1]Aux!$F$30,IF(AND(G32&lt;[1]Aux!$E$30,G32&gt;[1]Aux!$E$31),[1]Aux!$F$31,IF(AND(G32&lt;[1]Aux!$E$31,G32&gt;[1]Aux!$E$32),[1]Aux!$F$32,IF(AND(G32&lt;[1]Aux!$E$32,G32&gt;[1]Aux!$E$33),[1]Aux!$F$33,IF(AND(G32&lt;[1]Aux!$E$33,G32&gt;[1]Aux!$E$34),[1]Aux!$F$34,IF(AND(G32&lt;[1]Aux!$E$34,G32&gt;[1]Aux!$E$35),[1]Aux!$F$35,IF(AND(G32&lt;[1]Aux!$E$35,G32&gt;[1]Aux!$E$36),[1]Aux!$F$36,IF(G32&lt;[1]Aux!$E$36,0,"Verificar")))))))))</f>
        <v>0</v>
      </c>
    </row>
    <row r="33" spans="1:13" x14ac:dyDescent="0.25">
      <c r="A33" s="3" t="s">
        <v>37</v>
      </c>
      <c r="B33" s="4" t="s">
        <v>34</v>
      </c>
      <c r="C33" s="4" t="s">
        <v>15</v>
      </c>
      <c r="D33" s="4">
        <v>0.05</v>
      </c>
      <c r="E33" s="4" t="s">
        <v>35</v>
      </c>
      <c r="F33" s="4"/>
      <c r="G33" s="6">
        <f t="shared" si="7"/>
        <v>0</v>
      </c>
      <c r="H33" s="4">
        <f t="shared" si="1"/>
        <v>0</v>
      </c>
      <c r="I33" s="4"/>
      <c r="J33" s="7" t="s">
        <v>25</v>
      </c>
      <c r="K33" s="8" t="s">
        <v>16</v>
      </c>
      <c r="L33" s="4" t="s">
        <v>35</v>
      </c>
      <c r="M33" s="10">
        <f>IF(G33&gt;=[1]Aux!$E$29,[1]Aux!$F$29,IF(AND(G33&lt;[1]Aux!$E$29,G33&gt;[1]Aux!$E$30),[1]Aux!$F$30,IF(AND(G33&lt;[1]Aux!$E$30,G33&gt;[1]Aux!$E$31),[1]Aux!$F$31,IF(AND(G33&lt;[1]Aux!$E$31,G33&gt;[1]Aux!$E$32),[1]Aux!$F$32,IF(AND(G33&lt;[1]Aux!$E$32,G33&gt;[1]Aux!$E$33),[1]Aux!$F$33,IF(AND(G33&lt;[1]Aux!$E$33,G33&gt;[1]Aux!$E$34),[1]Aux!$F$34,IF(AND(G33&lt;[1]Aux!$E$34,G33&gt;[1]Aux!$E$35),[1]Aux!$F$35,IF(AND(G33&lt;[1]Aux!$E$35,G33&gt;[1]Aux!$E$36),[1]Aux!$F$36,IF(G33&lt;[1]Aux!$E$36,0,"Verificar")))))))))</f>
        <v>0</v>
      </c>
    </row>
    <row r="34" spans="1:13" x14ac:dyDescent="0.25">
      <c r="A34" s="3" t="s">
        <v>37</v>
      </c>
      <c r="B34" s="4" t="s">
        <v>34</v>
      </c>
      <c r="C34" s="4" t="s">
        <v>18</v>
      </c>
      <c r="D34" s="4">
        <v>0.05</v>
      </c>
      <c r="E34" s="4" t="s">
        <v>35</v>
      </c>
      <c r="F34" s="4"/>
      <c r="G34" s="6">
        <f t="shared" si="7"/>
        <v>0</v>
      </c>
      <c r="H34" s="4">
        <f t="shared" si="1"/>
        <v>0</v>
      </c>
      <c r="I34" s="4"/>
      <c r="J34" s="7" t="s">
        <v>25</v>
      </c>
      <c r="K34" s="8" t="s">
        <v>16</v>
      </c>
      <c r="L34" s="4" t="s">
        <v>35</v>
      </c>
      <c r="M34" s="10">
        <f>IF(G34&gt;=[1]Aux!$E$29,[1]Aux!$F$29,IF(AND(G34&lt;[1]Aux!$E$29,G34&gt;[1]Aux!$E$30),[1]Aux!$F$30,IF(AND(G34&lt;[1]Aux!$E$30,G34&gt;[1]Aux!$E$31),[1]Aux!$F$31,IF(AND(G34&lt;[1]Aux!$E$31,G34&gt;[1]Aux!$E$32),[1]Aux!$F$32,IF(AND(G34&lt;[1]Aux!$E$32,G34&gt;[1]Aux!$E$33),[1]Aux!$F$33,IF(AND(G34&lt;[1]Aux!$E$33,G34&gt;[1]Aux!$E$34),[1]Aux!$F$34,IF(AND(G34&lt;[1]Aux!$E$34,G34&gt;[1]Aux!$E$35),[1]Aux!$F$35,IF(AND(G34&lt;[1]Aux!$E$35,G34&gt;[1]Aux!$E$36),[1]Aux!$F$36,IF(G34&lt;[1]Aux!$E$36,0,"Verificar")))))))))</f>
        <v>0</v>
      </c>
    </row>
    <row r="35" spans="1:13" x14ac:dyDescent="0.25">
      <c r="A35" s="3" t="s">
        <v>37</v>
      </c>
      <c r="B35" s="4" t="s">
        <v>34</v>
      </c>
      <c r="C35" s="4" t="s">
        <v>19</v>
      </c>
      <c r="D35" s="4">
        <v>0.05</v>
      </c>
      <c r="E35" s="4" t="s">
        <v>35</v>
      </c>
      <c r="F35" s="4"/>
      <c r="G35" s="6">
        <f t="shared" si="7"/>
        <v>0</v>
      </c>
      <c r="H35" s="4">
        <f t="shared" si="1"/>
        <v>0</v>
      </c>
      <c r="I35" s="4"/>
      <c r="J35" s="7" t="s">
        <v>25</v>
      </c>
      <c r="K35" s="8" t="s">
        <v>16</v>
      </c>
      <c r="L35" s="4" t="s">
        <v>35</v>
      </c>
      <c r="M35" s="10">
        <f>IF(G35&gt;=[1]Aux!$E$29,[1]Aux!$F$29,IF(AND(G35&lt;[1]Aux!$E$29,G35&gt;[1]Aux!$E$30),[1]Aux!$F$30,IF(AND(G35&lt;[1]Aux!$E$30,G35&gt;[1]Aux!$E$31),[1]Aux!$F$31,IF(AND(G35&lt;[1]Aux!$E$31,G35&gt;[1]Aux!$E$32),[1]Aux!$F$32,IF(AND(G35&lt;[1]Aux!$E$32,G35&gt;[1]Aux!$E$33),[1]Aux!$F$33,IF(AND(G35&lt;[1]Aux!$E$33,G35&gt;[1]Aux!$E$34),[1]Aux!$F$34,IF(AND(G35&lt;[1]Aux!$E$34,G35&gt;[1]Aux!$E$35),[1]Aux!$F$35,IF(AND(G35&lt;[1]Aux!$E$35,G35&gt;[1]Aux!$E$36),[1]Aux!$F$36,IF(G35&lt;[1]Aux!$E$36,0,"Verificar")))))))))</f>
        <v>0</v>
      </c>
    </row>
    <row r="36" spans="1:13" x14ac:dyDescent="0.25">
      <c r="A36" s="3" t="s">
        <v>37</v>
      </c>
      <c r="B36" s="4" t="s">
        <v>34</v>
      </c>
      <c r="C36" s="4" t="s">
        <v>22</v>
      </c>
      <c r="D36" s="4">
        <v>0.05</v>
      </c>
      <c r="E36" s="4" t="s">
        <v>35</v>
      </c>
      <c r="F36" s="4"/>
      <c r="G36" s="6">
        <f t="shared" si="7"/>
        <v>0</v>
      </c>
      <c r="H36" s="4">
        <f t="shared" si="1"/>
        <v>0</v>
      </c>
      <c r="I36" s="4"/>
      <c r="J36" s="7" t="s">
        <v>25</v>
      </c>
      <c r="K36" s="8" t="s">
        <v>16</v>
      </c>
      <c r="L36" s="4" t="s">
        <v>35</v>
      </c>
      <c r="M36" s="10">
        <f>IF(G36&gt;=[1]Aux!$E$29,[1]Aux!$F$29,IF(AND(G36&lt;[1]Aux!$E$29,G36&gt;[1]Aux!$E$30),[1]Aux!$F$30,IF(AND(G36&lt;[1]Aux!$E$30,G36&gt;[1]Aux!$E$31),[1]Aux!$F$31,IF(AND(G36&lt;[1]Aux!$E$31,G36&gt;[1]Aux!$E$32),[1]Aux!$F$32,IF(AND(G36&lt;[1]Aux!$E$32,G36&gt;[1]Aux!$E$33),[1]Aux!$F$33,IF(AND(G36&lt;[1]Aux!$E$33,G36&gt;[1]Aux!$E$34),[1]Aux!$F$34,IF(AND(G36&lt;[1]Aux!$E$34,G36&gt;[1]Aux!$E$35),[1]Aux!$F$35,IF(AND(G36&lt;[1]Aux!$E$35,G36&gt;[1]Aux!$E$36),[1]Aux!$F$36,IF(G36&lt;[1]Aux!$E$36,0,"Verificar")))))))))</f>
        <v>0</v>
      </c>
    </row>
    <row r="37" spans="1:13" x14ac:dyDescent="0.25">
      <c r="A37" s="3" t="s">
        <v>38</v>
      </c>
      <c r="B37" s="4" t="s">
        <v>39</v>
      </c>
      <c r="C37" s="4" t="s">
        <v>15</v>
      </c>
      <c r="D37" s="4">
        <v>0.05</v>
      </c>
      <c r="E37" s="4">
        <v>0.9</v>
      </c>
      <c r="F37" s="4"/>
      <c r="G37" s="6">
        <f t="shared" si="7"/>
        <v>0</v>
      </c>
      <c r="H37" s="4">
        <f t="shared" si="1"/>
        <v>0</v>
      </c>
      <c r="I37" s="4"/>
      <c r="J37" s="7" t="s">
        <v>25</v>
      </c>
      <c r="K37" s="8" t="s">
        <v>16</v>
      </c>
      <c r="L37" s="9" t="s">
        <v>21</v>
      </c>
      <c r="M37" s="10">
        <f>IF(G37&gt;=[1]Aux!$E$29,[1]Aux!$F$29,IF(AND(G37&lt;[1]Aux!$E$29,G37&gt;[1]Aux!$E$30),[1]Aux!$F$30,IF(AND(G37&lt;[1]Aux!$E$30,G37&gt;[1]Aux!$E$31),[1]Aux!$F$31,IF(AND(G37&lt;[1]Aux!$E$31,G37&gt;[1]Aux!$E$32),[1]Aux!$F$32,IF(AND(G37&lt;[1]Aux!$E$32,G37&gt;[1]Aux!$E$33),[1]Aux!$F$33,IF(AND(G37&lt;[1]Aux!$E$33,G37&gt;[1]Aux!$E$34),[1]Aux!$F$34,IF(AND(G37&lt;[1]Aux!$E$34,G37&gt;[1]Aux!$E$35),[1]Aux!$F$35,IF(AND(G37&lt;[1]Aux!$E$35,G37&gt;[1]Aux!$E$36),[1]Aux!$F$36,IF(G37&lt;[1]Aux!$E$36,0,"Verificar")))))))))</f>
        <v>0</v>
      </c>
    </row>
    <row r="38" spans="1:13" x14ac:dyDescent="0.25">
      <c r="A38" s="3" t="s">
        <v>38</v>
      </c>
      <c r="B38" s="4" t="s">
        <v>39</v>
      </c>
      <c r="C38" s="4" t="s">
        <v>18</v>
      </c>
      <c r="D38" s="4">
        <v>0.05</v>
      </c>
      <c r="E38" s="4">
        <v>0.9</v>
      </c>
      <c r="F38" s="4"/>
      <c r="G38" s="6">
        <f t="shared" si="7"/>
        <v>0</v>
      </c>
      <c r="H38" s="4">
        <f t="shared" si="1"/>
        <v>0</v>
      </c>
      <c r="I38" s="4"/>
      <c r="J38" s="7" t="s">
        <v>25</v>
      </c>
      <c r="K38" s="8" t="s">
        <v>16</v>
      </c>
      <c r="L38" s="9" t="s">
        <v>21</v>
      </c>
      <c r="M38" s="10">
        <f>IF(G38&gt;=[1]Aux!$E$29,[1]Aux!$F$29,IF(AND(G38&lt;[1]Aux!$E$29,G38&gt;[1]Aux!$E$30),[1]Aux!$F$30,IF(AND(G38&lt;[1]Aux!$E$30,G38&gt;[1]Aux!$E$31),[1]Aux!$F$31,IF(AND(G38&lt;[1]Aux!$E$31,G38&gt;[1]Aux!$E$32),[1]Aux!$F$32,IF(AND(G38&lt;[1]Aux!$E$32,G38&gt;[1]Aux!$E$33),[1]Aux!$F$33,IF(AND(G38&lt;[1]Aux!$E$33,G38&gt;[1]Aux!$E$34),[1]Aux!$F$34,IF(AND(G38&lt;[1]Aux!$E$34,G38&gt;[1]Aux!$E$35),[1]Aux!$F$35,IF(AND(G38&lt;[1]Aux!$E$35,G38&gt;[1]Aux!$E$36),[1]Aux!$F$36,IF(G38&lt;[1]Aux!$E$36,0,"Verificar")))))))))</f>
        <v>0</v>
      </c>
    </row>
    <row r="39" spans="1:13" x14ac:dyDescent="0.25">
      <c r="A39" s="3" t="s">
        <v>38</v>
      </c>
      <c r="B39" s="4" t="s">
        <v>39</v>
      </c>
      <c r="C39" s="4" t="s">
        <v>19</v>
      </c>
      <c r="D39" s="4">
        <v>0.05</v>
      </c>
      <c r="E39" s="4">
        <v>0.9</v>
      </c>
      <c r="F39" s="4"/>
      <c r="G39" s="6">
        <f t="shared" si="7"/>
        <v>0</v>
      </c>
      <c r="H39" s="4">
        <f t="shared" si="1"/>
        <v>0</v>
      </c>
      <c r="I39" s="4"/>
      <c r="J39" s="7" t="s">
        <v>25</v>
      </c>
      <c r="K39" s="8" t="s">
        <v>16</v>
      </c>
      <c r="L39" s="9" t="s">
        <v>21</v>
      </c>
      <c r="M39" s="10">
        <f>IF(G39&gt;=[1]Aux!$E$29,[1]Aux!$F$29,IF(AND(G39&lt;[1]Aux!$E$29,G39&gt;[1]Aux!$E$30),[1]Aux!$F$30,IF(AND(G39&lt;[1]Aux!$E$30,G39&gt;[1]Aux!$E$31),[1]Aux!$F$31,IF(AND(G39&lt;[1]Aux!$E$31,G39&gt;[1]Aux!$E$32),[1]Aux!$F$32,IF(AND(G39&lt;[1]Aux!$E$32,G39&gt;[1]Aux!$E$33),[1]Aux!$F$33,IF(AND(G39&lt;[1]Aux!$E$33,G39&gt;[1]Aux!$E$34),[1]Aux!$F$34,IF(AND(G39&lt;[1]Aux!$E$34,G39&gt;[1]Aux!$E$35),[1]Aux!$F$35,IF(AND(G39&lt;[1]Aux!$E$35,G39&gt;[1]Aux!$E$36),[1]Aux!$F$36,IF(G39&lt;[1]Aux!$E$36,0,"Verificar")))))))))</f>
        <v>0</v>
      </c>
    </row>
    <row r="40" spans="1:13" x14ac:dyDescent="0.25">
      <c r="A40" s="3" t="s">
        <v>38</v>
      </c>
      <c r="B40" s="4" t="s">
        <v>39</v>
      </c>
      <c r="C40" s="4" t="s">
        <v>22</v>
      </c>
      <c r="D40" s="4">
        <v>0.05</v>
      </c>
      <c r="E40" s="4">
        <v>0.9</v>
      </c>
      <c r="F40" s="4"/>
      <c r="G40" s="6">
        <f t="shared" si="7"/>
        <v>0</v>
      </c>
      <c r="H40" s="4">
        <f t="shared" si="1"/>
        <v>0</v>
      </c>
      <c r="I40" s="4"/>
      <c r="J40" s="7" t="s">
        <v>25</v>
      </c>
      <c r="K40" s="8" t="s">
        <v>16</v>
      </c>
      <c r="L40" s="9" t="s">
        <v>21</v>
      </c>
      <c r="M40" s="10">
        <f>IF(G40&gt;=[1]Aux!$E$29,[1]Aux!$F$29,IF(AND(G40&lt;[1]Aux!$E$29,G40&gt;[1]Aux!$E$30),[1]Aux!$F$30,IF(AND(G40&lt;[1]Aux!$E$30,G40&gt;[1]Aux!$E$31),[1]Aux!$F$31,IF(AND(G40&lt;[1]Aux!$E$31,G40&gt;[1]Aux!$E$32),[1]Aux!$F$32,IF(AND(G40&lt;[1]Aux!$E$32,G40&gt;[1]Aux!$E$33),[1]Aux!$F$33,IF(AND(G40&lt;[1]Aux!$E$33,G40&gt;[1]Aux!$E$34),[1]Aux!$F$34,IF(AND(G40&lt;[1]Aux!$E$34,G40&gt;[1]Aux!$E$35),[1]Aux!$F$35,IF(AND(G40&lt;[1]Aux!$E$35,G40&gt;[1]Aux!$E$36),[1]Aux!$F$36,IF(G40&lt;[1]Aux!$E$36,0,"Verificar")))))))))</f>
        <v>0</v>
      </c>
    </row>
    <row r="41" spans="1:13" x14ac:dyDescent="0.25">
      <c r="A41" s="3" t="s">
        <v>40</v>
      </c>
      <c r="B41" s="4" t="s">
        <v>39</v>
      </c>
      <c r="C41" s="4" t="s">
        <v>15</v>
      </c>
      <c r="D41" s="4">
        <v>0.05</v>
      </c>
      <c r="E41" s="4">
        <v>1</v>
      </c>
      <c r="F41" s="4"/>
      <c r="G41" s="6">
        <f t="shared" si="7"/>
        <v>0</v>
      </c>
      <c r="H41" s="4">
        <f t="shared" si="1"/>
        <v>0</v>
      </c>
      <c r="I41" s="4"/>
      <c r="J41" s="7" t="s">
        <v>25</v>
      </c>
      <c r="K41" s="8" t="s">
        <v>16</v>
      </c>
      <c r="L41" s="9" t="s">
        <v>21</v>
      </c>
      <c r="M41" s="10">
        <f>IF(G41&gt;=[1]Aux!$E$29,[1]Aux!$F$29,IF(AND(G41&lt;[1]Aux!$E$29,G41&gt;[1]Aux!$E$30),[1]Aux!$F$30,IF(AND(G41&lt;[1]Aux!$E$30,G41&gt;[1]Aux!$E$31),[1]Aux!$F$31,IF(AND(G41&lt;[1]Aux!$E$31,G41&gt;[1]Aux!$E$32),[1]Aux!$F$32,IF(AND(G41&lt;[1]Aux!$E$32,G41&gt;[1]Aux!$E$33),[1]Aux!$F$33,IF(AND(G41&lt;[1]Aux!$E$33,G41&gt;[1]Aux!$E$34),[1]Aux!$F$34,IF(AND(G41&lt;[1]Aux!$E$34,G41&gt;[1]Aux!$E$35),[1]Aux!$F$35,IF(AND(G41&lt;[1]Aux!$E$35,G41&gt;[1]Aux!$E$36),[1]Aux!$F$36,IF(G41&lt;[1]Aux!$E$36,0,"Verificar")))))))))</f>
        <v>0</v>
      </c>
    </row>
    <row r="42" spans="1:13" x14ac:dyDescent="0.25">
      <c r="A42" s="3" t="s">
        <v>40</v>
      </c>
      <c r="B42" s="4" t="s">
        <v>39</v>
      </c>
      <c r="C42" s="4" t="s">
        <v>18</v>
      </c>
      <c r="D42" s="4">
        <v>0.05</v>
      </c>
      <c r="E42" s="4">
        <v>1</v>
      </c>
      <c r="F42" s="4"/>
      <c r="G42" s="6">
        <f t="shared" si="7"/>
        <v>0</v>
      </c>
      <c r="H42" s="4">
        <f t="shared" si="1"/>
        <v>0</v>
      </c>
      <c r="I42" s="4"/>
      <c r="J42" s="7" t="s">
        <v>25</v>
      </c>
      <c r="K42" s="8" t="s">
        <v>16</v>
      </c>
      <c r="L42" s="9" t="s">
        <v>21</v>
      </c>
      <c r="M42" s="10">
        <f>IF(G42&gt;=[1]Aux!$E$29,[1]Aux!$F$29,IF(AND(G42&lt;[1]Aux!$E$29,G42&gt;[1]Aux!$E$30),[1]Aux!$F$30,IF(AND(G42&lt;[1]Aux!$E$30,G42&gt;[1]Aux!$E$31),[1]Aux!$F$31,IF(AND(G42&lt;[1]Aux!$E$31,G42&gt;[1]Aux!$E$32),[1]Aux!$F$32,IF(AND(G42&lt;[1]Aux!$E$32,G42&gt;[1]Aux!$E$33),[1]Aux!$F$33,IF(AND(G42&lt;[1]Aux!$E$33,G42&gt;[1]Aux!$E$34),[1]Aux!$F$34,IF(AND(G42&lt;[1]Aux!$E$34,G42&gt;[1]Aux!$E$35),[1]Aux!$F$35,IF(AND(G42&lt;[1]Aux!$E$35,G42&gt;[1]Aux!$E$36),[1]Aux!$F$36,IF(G42&lt;[1]Aux!$E$36,0,"Verificar")))))))))</f>
        <v>0</v>
      </c>
    </row>
    <row r="43" spans="1:13" x14ac:dyDescent="0.25">
      <c r="A43" s="3" t="s">
        <v>40</v>
      </c>
      <c r="B43" s="4" t="s">
        <v>39</v>
      </c>
      <c r="C43" s="4" t="s">
        <v>19</v>
      </c>
      <c r="D43" s="4">
        <v>0.05</v>
      </c>
      <c r="E43" s="4">
        <v>1</v>
      </c>
      <c r="F43" s="4"/>
      <c r="G43" s="6">
        <f t="shared" si="7"/>
        <v>0</v>
      </c>
      <c r="H43" s="4">
        <f t="shared" si="1"/>
        <v>0</v>
      </c>
      <c r="I43" s="4"/>
      <c r="J43" s="7" t="s">
        <v>25</v>
      </c>
      <c r="K43" s="8" t="s">
        <v>16</v>
      </c>
      <c r="L43" s="9" t="s">
        <v>21</v>
      </c>
      <c r="M43" s="10">
        <f>IF(G43&gt;=[1]Aux!$E$29,[1]Aux!$F$29,IF(AND(G43&lt;[1]Aux!$E$29,G43&gt;[1]Aux!$E$30),[1]Aux!$F$30,IF(AND(G43&lt;[1]Aux!$E$30,G43&gt;[1]Aux!$E$31),[1]Aux!$F$31,IF(AND(G43&lt;[1]Aux!$E$31,G43&gt;[1]Aux!$E$32),[1]Aux!$F$32,IF(AND(G43&lt;[1]Aux!$E$32,G43&gt;[1]Aux!$E$33),[1]Aux!$F$33,IF(AND(G43&lt;[1]Aux!$E$33,G43&gt;[1]Aux!$E$34),[1]Aux!$F$34,IF(AND(G43&lt;[1]Aux!$E$34,G43&gt;[1]Aux!$E$35),[1]Aux!$F$35,IF(AND(G43&lt;[1]Aux!$E$35,G43&gt;[1]Aux!$E$36),[1]Aux!$F$36,IF(G43&lt;[1]Aux!$E$36,0,"Verificar")))))))))</f>
        <v>0</v>
      </c>
    </row>
    <row r="44" spans="1:13" x14ac:dyDescent="0.25">
      <c r="A44" s="3" t="s">
        <v>40</v>
      </c>
      <c r="B44" s="4" t="s">
        <v>39</v>
      </c>
      <c r="C44" s="4" t="s">
        <v>22</v>
      </c>
      <c r="D44" s="4">
        <v>0.05</v>
      </c>
      <c r="E44" s="4">
        <v>1</v>
      </c>
      <c r="F44" s="4"/>
      <c r="G44" s="6">
        <f t="shared" si="7"/>
        <v>0</v>
      </c>
      <c r="H44" s="4">
        <f t="shared" si="1"/>
        <v>0</v>
      </c>
      <c r="I44" s="4"/>
      <c r="J44" s="7" t="s">
        <v>25</v>
      </c>
      <c r="K44" s="8" t="s">
        <v>16</v>
      </c>
      <c r="L44" s="9" t="s">
        <v>21</v>
      </c>
      <c r="M44" s="10">
        <f>IF(G44&gt;=[1]Aux!$E$29,[1]Aux!$F$29,IF(AND(G44&lt;[1]Aux!$E$29,G44&gt;[1]Aux!$E$30),[1]Aux!$F$30,IF(AND(G44&lt;[1]Aux!$E$30,G44&gt;[1]Aux!$E$31),[1]Aux!$F$31,IF(AND(G44&lt;[1]Aux!$E$31,G44&gt;[1]Aux!$E$32),[1]Aux!$F$32,IF(AND(G44&lt;[1]Aux!$E$32,G44&gt;[1]Aux!$E$33),[1]Aux!$F$33,IF(AND(G44&lt;[1]Aux!$E$33,G44&gt;[1]Aux!$E$34),[1]Aux!$F$34,IF(AND(G44&lt;[1]Aux!$E$34,G44&gt;[1]Aux!$E$35),[1]Aux!$F$35,IF(AND(G44&lt;[1]Aux!$E$35,G44&gt;[1]Aux!$E$36),[1]Aux!$F$36,IF(G44&lt;[1]Aux!$E$36,0,"Verificar")))))))))</f>
        <v>0</v>
      </c>
    </row>
    <row r="45" spans="1:13" x14ac:dyDescent="0.25">
      <c r="A45" s="15" t="s">
        <v>41</v>
      </c>
      <c r="B45" s="4" t="s">
        <v>39</v>
      </c>
      <c r="C45" s="4" t="s">
        <v>15</v>
      </c>
      <c r="D45" s="4">
        <v>0.1</v>
      </c>
      <c r="E45" s="4" t="s">
        <v>42</v>
      </c>
      <c r="F45" s="4"/>
      <c r="G45" s="6">
        <f t="shared" si="7"/>
        <v>0</v>
      </c>
      <c r="H45" s="4">
        <f t="shared" si="1"/>
        <v>0</v>
      </c>
      <c r="I45" s="4"/>
      <c r="J45" s="7" t="s">
        <v>25</v>
      </c>
      <c r="K45" s="8" t="s">
        <v>16</v>
      </c>
      <c r="L45" s="9" t="s">
        <v>26</v>
      </c>
      <c r="M45" s="10">
        <f>IF(G45&gt;=[1]Aux!$E$29,[1]Aux!$F$29,IF(AND(G45&lt;[1]Aux!$E$29,G45&gt;[1]Aux!$E$30),[1]Aux!$F$30,IF(AND(G45&lt;[1]Aux!$E$30,G45&gt;[1]Aux!$E$31),[1]Aux!$F$31,IF(AND(G45&lt;[1]Aux!$E$31,G45&gt;[1]Aux!$E$32),[1]Aux!$F$32,IF(AND(G45&lt;[1]Aux!$E$32,G45&gt;[1]Aux!$E$33),[1]Aux!$F$33,IF(AND(G45&lt;[1]Aux!$E$33,G45&gt;[1]Aux!$E$34),[1]Aux!$F$34,IF(AND(G45&lt;[1]Aux!$E$34,G45&gt;[1]Aux!$E$35),[1]Aux!$F$35,IF(AND(G45&lt;[1]Aux!$E$35,G45&gt;[1]Aux!$E$36),[1]Aux!$F$36,IF(G45&lt;[1]Aux!$E$36,0,"Verificar")))))))))</f>
        <v>0</v>
      </c>
    </row>
    <row r="46" spans="1:13" x14ac:dyDescent="0.25">
      <c r="A46" s="15" t="s">
        <v>41</v>
      </c>
      <c r="B46" s="4" t="s">
        <v>39</v>
      </c>
      <c r="C46" s="4" t="s">
        <v>18</v>
      </c>
      <c r="D46" s="4">
        <v>0.1</v>
      </c>
      <c r="E46" s="4" t="s">
        <v>42</v>
      </c>
      <c r="F46" s="4"/>
      <c r="G46" s="6">
        <f t="shared" si="7"/>
        <v>0</v>
      </c>
      <c r="H46" s="4">
        <f t="shared" si="1"/>
        <v>0</v>
      </c>
      <c r="I46" s="4"/>
      <c r="J46" s="7" t="s">
        <v>25</v>
      </c>
      <c r="K46" s="8" t="s">
        <v>16</v>
      </c>
      <c r="L46" s="9" t="s">
        <v>26</v>
      </c>
      <c r="M46" s="10">
        <f>IF(G46&gt;=[1]Aux!$E$29,[1]Aux!$F$29,IF(AND(G46&lt;[1]Aux!$E$29,G46&gt;[1]Aux!$E$30),[1]Aux!$F$30,IF(AND(G46&lt;[1]Aux!$E$30,G46&gt;[1]Aux!$E$31),[1]Aux!$F$31,IF(AND(G46&lt;[1]Aux!$E$31,G46&gt;[1]Aux!$E$32),[1]Aux!$F$32,IF(AND(G46&lt;[1]Aux!$E$32,G46&gt;[1]Aux!$E$33),[1]Aux!$F$33,IF(AND(G46&lt;[1]Aux!$E$33,G46&gt;[1]Aux!$E$34),[1]Aux!$F$34,IF(AND(G46&lt;[1]Aux!$E$34,G46&gt;[1]Aux!$E$35),[1]Aux!$F$35,IF(AND(G46&lt;[1]Aux!$E$35,G46&gt;[1]Aux!$E$36),[1]Aux!$F$36,IF(G46&lt;[1]Aux!$E$36,0,"Verificar")))))))))</f>
        <v>0</v>
      </c>
    </row>
    <row r="47" spans="1:13" x14ac:dyDescent="0.25">
      <c r="A47" s="15" t="s">
        <v>41</v>
      </c>
      <c r="B47" s="16" t="s">
        <v>39</v>
      </c>
      <c r="C47" s="16" t="s">
        <v>19</v>
      </c>
      <c r="D47" s="16">
        <v>0.1</v>
      </c>
      <c r="E47" s="4" t="s">
        <v>42</v>
      </c>
      <c r="F47" s="16"/>
      <c r="G47" s="6">
        <f t="shared" si="7"/>
        <v>0</v>
      </c>
      <c r="H47" s="4">
        <f t="shared" si="1"/>
        <v>0</v>
      </c>
      <c r="I47" s="4"/>
      <c r="J47" s="7" t="s">
        <v>25</v>
      </c>
      <c r="K47" s="8" t="s">
        <v>16</v>
      </c>
      <c r="L47" s="9" t="s">
        <v>26</v>
      </c>
      <c r="M47" s="10">
        <f>IF(G47&gt;=[1]Aux!$E$29,[1]Aux!$F$29,IF(AND(G47&lt;[1]Aux!$E$29,G47&gt;[1]Aux!$E$30),[1]Aux!$F$30,IF(AND(G47&lt;[1]Aux!$E$30,G47&gt;[1]Aux!$E$31),[1]Aux!$F$31,IF(AND(G47&lt;[1]Aux!$E$31,G47&gt;[1]Aux!$E$32),[1]Aux!$F$32,IF(AND(G47&lt;[1]Aux!$E$32,G47&gt;[1]Aux!$E$33),[1]Aux!$F$33,IF(AND(G47&lt;[1]Aux!$E$33,G47&gt;[1]Aux!$E$34),[1]Aux!$F$34,IF(AND(G47&lt;[1]Aux!$E$34,G47&gt;[1]Aux!$E$35),[1]Aux!$F$35,IF(AND(G47&lt;[1]Aux!$E$35,G47&gt;[1]Aux!$E$36),[1]Aux!$F$36,IF(G47&lt;[1]Aux!$E$36,0,"Verificar")))))))))</f>
        <v>0</v>
      </c>
    </row>
    <row r="48" spans="1:13" x14ac:dyDescent="0.25">
      <c r="A48" s="15" t="s">
        <v>41</v>
      </c>
      <c r="B48" s="9" t="s">
        <v>39</v>
      </c>
      <c r="C48" s="9" t="s">
        <v>22</v>
      </c>
      <c r="D48" s="9">
        <v>0.1</v>
      </c>
      <c r="E48" s="4" t="s">
        <v>42</v>
      </c>
      <c r="F48" s="9"/>
      <c r="G48" s="6">
        <f t="shared" si="7"/>
        <v>0</v>
      </c>
      <c r="H48" s="4">
        <f t="shared" si="1"/>
        <v>0</v>
      </c>
      <c r="I48" s="4"/>
      <c r="J48" s="7" t="s">
        <v>25</v>
      </c>
      <c r="K48" s="8" t="s">
        <v>16</v>
      </c>
      <c r="L48" s="9" t="s">
        <v>26</v>
      </c>
      <c r="M48" s="10">
        <f>IF(G48&gt;=[1]Aux!$E$29,[1]Aux!$F$29,IF(AND(G48&lt;[1]Aux!$E$29,G48&gt;[1]Aux!$E$30),[1]Aux!$F$30,IF(AND(G48&lt;[1]Aux!$E$30,G48&gt;[1]Aux!$E$31),[1]Aux!$F$31,IF(AND(G48&lt;[1]Aux!$E$31,G48&gt;[1]Aux!$E$32),[1]Aux!$F$32,IF(AND(G48&lt;[1]Aux!$E$32,G48&gt;[1]Aux!$E$33),[1]Aux!$F$33,IF(AND(G48&lt;[1]Aux!$E$33,G48&gt;[1]Aux!$E$34),[1]Aux!$F$34,IF(AND(G48&lt;[1]Aux!$E$34,G48&gt;[1]Aux!$E$35),[1]Aux!$F$35,IF(AND(G48&lt;[1]Aux!$E$35,G48&gt;[1]Aux!$E$36),[1]Aux!$F$36,IF(G48&lt;[1]Aux!$E$36,0,"Verificar")))))))))</f>
        <v>0</v>
      </c>
    </row>
    <row r="49" spans="1:13" x14ac:dyDescent="0.25">
      <c r="A49" s="3" t="s">
        <v>13</v>
      </c>
      <c r="B49" s="4" t="s">
        <v>14</v>
      </c>
      <c r="C49" s="4" t="s">
        <v>15</v>
      </c>
      <c r="D49" s="4">
        <v>0.2</v>
      </c>
      <c r="E49" s="5">
        <v>448865116.64071709</v>
      </c>
      <c r="F49" s="5">
        <v>562672034.99000001</v>
      </c>
      <c r="G49" s="6">
        <f>F49/E49</f>
        <v>1.2535436908107449</v>
      </c>
      <c r="H49" s="4">
        <f>IF(M49&gt;1,D49,M49*D49)</f>
        <v>0.2</v>
      </c>
      <c r="I49" s="4"/>
      <c r="J49" s="7">
        <v>46143</v>
      </c>
      <c r="K49" s="8" t="s">
        <v>43</v>
      </c>
      <c r="L49" s="9" t="s">
        <v>17</v>
      </c>
      <c r="M49" s="10">
        <f>IF(G49&gt;=[1]Aux!$E$29,[1]Aux!$F$29,IF(AND(G49&lt;[1]Aux!$E$29,G49&gt;[1]Aux!$E$30),[1]Aux!$F$30,IF(AND(G49&lt;[1]Aux!$E$30,G49&gt;[1]Aux!$E$31),[1]Aux!$F$31,IF(AND(G49&lt;[1]Aux!$E$31,G49&gt;[1]Aux!$E$32),[1]Aux!$F$32,IF(AND(G49&lt;[1]Aux!$E$32,G49&gt;[1]Aux!$E$33),[1]Aux!$F$33,IF(AND(G49&lt;[1]Aux!$E$33,G49&gt;[1]Aux!$E$34),[1]Aux!$F$34,IF(AND(G49&lt;[1]Aux!$E$34,G49&gt;[1]Aux!$E$35),[1]Aux!$F$35,IF(AND(G49&lt;[1]Aux!$E$35,G49&gt;[1]Aux!$E$36),[1]Aux!$F$36,IF(G49&lt;[1]Aux!$E$36,0,"Verificar")))))))))</f>
        <v>1</v>
      </c>
    </row>
    <row r="50" spans="1:13" x14ac:dyDescent="0.25">
      <c r="A50" s="3" t="s">
        <v>13</v>
      </c>
      <c r="B50" s="4" t="s">
        <v>14</v>
      </c>
      <c r="C50" s="4" t="s">
        <v>18</v>
      </c>
      <c r="D50" s="4">
        <v>0.15</v>
      </c>
      <c r="E50" s="5">
        <v>448865116.64071709</v>
      </c>
      <c r="F50" s="5">
        <v>562672034.99000001</v>
      </c>
      <c r="G50" s="6">
        <f t="shared" ref="G50:G51" si="8">F50/E50</f>
        <v>1.2535436908107449</v>
      </c>
      <c r="H50" s="4">
        <f t="shared" ref="H50:H95" si="9">IF(M50&gt;1,D50,M50*D50)</f>
        <v>0.15</v>
      </c>
      <c r="I50" s="4"/>
      <c r="J50" s="7">
        <v>46143</v>
      </c>
      <c r="K50" s="8" t="s">
        <v>43</v>
      </c>
      <c r="L50" s="9" t="s">
        <v>17</v>
      </c>
      <c r="M50" s="10">
        <f>IF(G50&gt;=[1]Aux!$E$29,[1]Aux!$F$29,IF(AND(G50&lt;[1]Aux!$E$29,G50&gt;[1]Aux!$E$30),[1]Aux!$F$30,IF(AND(G50&lt;[1]Aux!$E$30,G50&gt;[1]Aux!$E$31),[1]Aux!$F$31,IF(AND(G50&lt;[1]Aux!$E$31,G50&gt;[1]Aux!$E$32),[1]Aux!$F$32,IF(AND(G50&lt;[1]Aux!$E$32,G50&gt;[1]Aux!$E$33),[1]Aux!$F$33,IF(AND(G50&lt;[1]Aux!$E$33,G50&gt;[1]Aux!$E$34),[1]Aux!$F$34,IF(AND(G50&lt;[1]Aux!$E$34,G50&gt;[1]Aux!$E$35),[1]Aux!$F$35,IF(AND(G50&lt;[1]Aux!$E$35,G50&gt;[1]Aux!$E$36),[1]Aux!$F$36,IF(G50&lt;[1]Aux!$E$36,0,"Verificar")))))))))</f>
        <v>1</v>
      </c>
    </row>
    <row r="51" spans="1:13" x14ac:dyDescent="0.25">
      <c r="A51" s="3" t="s">
        <v>13</v>
      </c>
      <c r="B51" s="4" t="s">
        <v>14</v>
      </c>
      <c r="C51" s="4" t="s">
        <v>19</v>
      </c>
      <c r="D51" s="4">
        <v>0.15</v>
      </c>
      <c r="E51" s="5">
        <v>448865116.64071709</v>
      </c>
      <c r="F51" s="5">
        <v>562672034.99000001</v>
      </c>
      <c r="G51" s="6">
        <f t="shared" si="8"/>
        <v>1.2535436908107449</v>
      </c>
      <c r="H51" s="4">
        <f t="shared" si="9"/>
        <v>0.15</v>
      </c>
      <c r="I51" s="4"/>
      <c r="J51" s="7">
        <v>46143</v>
      </c>
      <c r="K51" s="8" t="s">
        <v>43</v>
      </c>
      <c r="L51" s="9" t="s">
        <v>17</v>
      </c>
      <c r="M51" s="10">
        <f>IF(G51&gt;=[1]Aux!$E$29,[1]Aux!$F$29,IF(AND(G51&lt;[1]Aux!$E$29,G51&gt;[1]Aux!$E$30),[1]Aux!$F$30,IF(AND(G51&lt;[1]Aux!$E$30,G51&gt;[1]Aux!$E$31),[1]Aux!$F$31,IF(AND(G51&lt;[1]Aux!$E$31,G51&gt;[1]Aux!$E$32),[1]Aux!$F$32,IF(AND(G51&lt;[1]Aux!$E$32,G51&gt;[1]Aux!$E$33),[1]Aux!$F$33,IF(AND(G51&lt;[1]Aux!$E$33,G51&gt;[1]Aux!$E$34),[1]Aux!$F$34,IF(AND(G51&lt;[1]Aux!$E$34,G51&gt;[1]Aux!$E$35),[1]Aux!$F$35,IF(AND(G51&lt;[1]Aux!$E$35,G51&gt;[1]Aux!$E$36),[1]Aux!$F$36,IF(G51&lt;[1]Aux!$E$36,0,"Verificar")))))))))</f>
        <v>1</v>
      </c>
    </row>
    <row r="52" spans="1:13" x14ac:dyDescent="0.25">
      <c r="A52" s="3" t="s">
        <v>20</v>
      </c>
      <c r="B52" s="4" t="s">
        <v>14</v>
      </c>
      <c r="C52" s="4" t="s">
        <v>15</v>
      </c>
      <c r="D52" s="4">
        <v>0.2</v>
      </c>
      <c r="E52" s="4">
        <v>0.26640000000000003</v>
      </c>
      <c r="F52" s="4">
        <v>0.156</v>
      </c>
      <c r="G52" s="4">
        <f>1-((F52-E52)/(1-E52))</f>
        <v>1.1504907306434025</v>
      </c>
      <c r="H52" s="4">
        <f t="shared" si="9"/>
        <v>0.2</v>
      </c>
      <c r="I52" s="4"/>
      <c r="J52" s="7">
        <v>46143</v>
      </c>
      <c r="K52" s="8" t="s">
        <v>43</v>
      </c>
      <c r="L52" s="9" t="s">
        <v>21</v>
      </c>
      <c r="M52" s="10">
        <f>IF(G52&gt;=[1]Aux!$E$29,[1]Aux!$F$29,IF(AND(G52&lt;[1]Aux!$E$29,G52&gt;[1]Aux!$E$30),[1]Aux!$F$30,IF(AND(G52&lt;[1]Aux!$E$30,G52&gt;[1]Aux!$E$31),[1]Aux!$F$31,IF(AND(G52&lt;[1]Aux!$E$31,G52&gt;[1]Aux!$E$32),[1]Aux!$F$32,IF(AND(G52&lt;[1]Aux!$E$32,G52&gt;[1]Aux!$E$33),[1]Aux!$F$33,IF(AND(G52&lt;[1]Aux!$E$33,G52&gt;[1]Aux!$E$34),[1]Aux!$F$34,IF(AND(G52&lt;[1]Aux!$E$34,G52&gt;[1]Aux!$E$35),[1]Aux!$F$35,IF(AND(G52&lt;[1]Aux!$E$35,G52&gt;[1]Aux!$E$36),[1]Aux!$F$36,IF(G52&lt;[1]Aux!$E$36,0,"Verificar")))))))))</f>
        <v>1</v>
      </c>
    </row>
    <row r="53" spans="1:13" x14ac:dyDescent="0.25">
      <c r="A53" s="3" t="s">
        <v>20</v>
      </c>
      <c r="B53" s="4" t="s">
        <v>14</v>
      </c>
      <c r="C53" s="4" t="s">
        <v>18</v>
      </c>
      <c r="D53" s="4">
        <v>0.1</v>
      </c>
      <c r="E53" s="4">
        <v>0.26640000000000003</v>
      </c>
      <c r="F53" s="4">
        <v>0.156</v>
      </c>
      <c r="G53" s="4">
        <f t="shared" ref="G53:G55" si="10">1-((F53-E53)/(1-E53))</f>
        <v>1.1504907306434025</v>
      </c>
      <c r="H53" s="4">
        <f t="shared" si="9"/>
        <v>0.1</v>
      </c>
      <c r="I53" s="4"/>
      <c r="J53" s="7">
        <v>46143</v>
      </c>
      <c r="K53" s="8" t="s">
        <v>43</v>
      </c>
      <c r="L53" s="9" t="s">
        <v>21</v>
      </c>
      <c r="M53" s="10">
        <f>IF(G53&gt;=[1]Aux!$E$29,[1]Aux!$F$29,IF(AND(G53&lt;[1]Aux!$E$29,G53&gt;[1]Aux!$E$30),[1]Aux!$F$30,IF(AND(G53&lt;[1]Aux!$E$30,G53&gt;[1]Aux!$E$31),[1]Aux!$F$31,IF(AND(G53&lt;[1]Aux!$E$31,G53&gt;[1]Aux!$E$32),[1]Aux!$F$32,IF(AND(G53&lt;[1]Aux!$E$32,G53&gt;[1]Aux!$E$33),[1]Aux!$F$33,IF(AND(G53&lt;[1]Aux!$E$33,G53&gt;[1]Aux!$E$34),[1]Aux!$F$34,IF(AND(G53&lt;[1]Aux!$E$34,G53&gt;[1]Aux!$E$35),[1]Aux!$F$35,IF(AND(G53&lt;[1]Aux!$E$35,G53&gt;[1]Aux!$E$36),[1]Aux!$F$36,IF(G53&lt;[1]Aux!$E$36,0,"Verificar")))))))))</f>
        <v>1</v>
      </c>
    </row>
    <row r="54" spans="1:13" x14ac:dyDescent="0.25">
      <c r="A54" s="3" t="s">
        <v>20</v>
      </c>
      <c r="B54" s="4" t="s">
        <v>14</v>
      </c>
      <c r="C54" s="4" t="s">
        <v>19</v>
      </c>
      <c r="D54" s="4">
        <v>0.15</v>
      </c>
      <c r="E54" s="4">
        <v>0.26640000000000003</v>
      </c>
      <c r="F54" s="4">
        <v>0.156</v>
      </c>
      <c r="G54" s="4">
        <f t="shared" si="10"/>
        <v>1.1504907306434025</v>
      </c>
      <c r="H54" s="4">
        <f t="shared" si="9"/>
        <v>0.15</v>
      </c>
      <c r="I54" s="4"/>
      <c r="J54" s="7">
        <v>46143</v>
      </c>
      <c r="K54" s="8" t="s">
        <v>43</v>
      </c>
      <c r="L54" s="9" t="s">
        <v>21</v>
      </c>
      <c r="M54" s="10">
        <f>IF(G54&gt;=[1]Aux!$E$29,[1]Aux!$F$29,IF(AND(G54&lt;[1]Aux!$E$29,G54&gt;[1]Aux!$E$30),[1]Aux!$F$30,IF(AND(G54&lt;[1]Aux!$E$30,G54&gt;[1]Aux!$E$31),[1]Aux!$F$31,IF(AND(G54&lt;[1]Aux!$E$31,G54&gt;[1]Aux!$E$32),[1]Aux!$F$32,IF(AND(G54&lt;[1]Aux!$E$32,G54&gt;[1]Aux!$E$33),[1]Aux!$F$33,IF(AND(G54&lt;[1]Aux!$E$33,G54&gt;[1]Aux!$E$34),[1]Aux!$F$34,IF(AND(G54&lt;[1]Aux!$E$34,G54&gt;[1]Aux!$E$35),[1]Aux!$F$35,IF(AND(G54&lt;[1]Aux!$E$35,G54&gt;[1]Aux!$E$36),[1]Aux!$F$36,IF(G54&lt;[1]Aux!$E$36,0,"Verificar")))))))))</f>
        <v>1</v>
      </c>
    </row>
    <row r="55" spans="1:13" x14ac:dyDescent="0.25">
      <c r="A55" s="3" t="s">
        <v>20</v>
      </c>
      <c r="B55" s="4" t="s">
        <v>14</v>
      </c>
      <c r="C55" s="4" t="s">
        <v>22</v>
      </c>
      <c r="D55" s="4">
        <v>0.1</v>
      </c>
      <c r="E55" s="4">
        <v>0.26640000000000003</v>
      </c>
      <c r="F55" s="4">
        <v>0.156</v>
      </c>
      <c r="G55" s="4">
        <f t="shared" si="10"/>
        <v>1.1504907306434025</v>
      </c>
      <c r="H55" s="4">
        <f t="shared" si="9"/>
        <v>0.1</v>
      </c>
      <c r="I55" s="4"/>
      <c r="J55" s="7">
        <v>46143</v>
      </c>
      <c r="K55" s="8" t="s">
        <v>43</v>
      </c>
      <c r="L55" s="9" t="s">
        <v>21</v>
      </c>
      <c r="M55" s="10">
        <f>IF(G55&gt;=[1]Aux!$E$29,[1]Aux!$F$29,IF(AND(G55&lt;[1]Aux!$E$29,G55&gt;[1]Aux!$E$30),[1]Aux!$F$30,IF(AND(G55&lt;[1]Aux!$E$30,G55&gt;[1]Aux!$E$31),[1]Aux!$F$31,IF(AND(G55&lt;[1]Aux!$E$31,G55&gt;[1]Aux!$E$32),[1]Aux!$F$32,IF(AND(G55&lt;[1]Aux!$E$32,G55&gt;[1]Aux!$E$33),[1]Aux!$F$33,IF(AND(G55&lt;[1]Aux!$E$33,G55&gt;[1]Aux!$E$34),[1]Aux!$F$34,IF(AND(G55&lt;[1]Aux!$E$34,G55&gt;[1]Aux!$E$35),[1]Aux!$F$35,IF(AND(G55&lt;[1]Aux!$E$35,G55&gt;[1]Aux!$E$36),[1]Aux!$F$36,IF(G55&lt;[1]Aux!$E$36,0,"Verificar")))))))))</f>
        <v>1</v>
      </c>
    </row>
    <row r="56" spans="1:13" x14ac:dyDescent="0.25">
      <c r="A56" s="3" t="s">
        <v>23</v>
      </c>
      <c r="B56" s="4" t="s">
        <v>14</v>
      </c>
      <c r="C56" s="4" t="s">
        <v>15</v>
      </c>
      <c r="D56" s="4">
        <v>0.1</v>
      </c>
      <c r="E56" s="12">
        <v>5285128207.7846804</v>
      </c>
      <c r="F56" s="12">
        <v>5640812286.3299999</v>
      </c>
      <c r="G56" s="6">
        <f t="shared" ref="G56:G58" si="11">F56/E56</f>
        <v>1.0672990445191883</v>
      </c>
      <c r="H56" s="4">
        <f t="shared" si="9"/>
        <v>0.1</v>
      </c>
      <c r="I56" s="4"/>
      <c r="J56" s="7">
        <v>46143</v>
      </c>
      <c r="K56" s="8" t="s">
        <v>43</v>
      </c>
      <c r="L56" s="9" t="s">
        <v>17</v>
      </c>
      <c r="M56" s="10">
        <f>IF(G56&gt;=[1]Aux!$E$29,[1]Aux!$F$29,IF(AND(G56&lt;[1]Aux!$E$29,G56&gt;[1]Aux!$E$30),[1]Aux!$F$30,IF(AND(G56&lt;[1]Aux!$E$30,G56&gt;[1]Aux!$E$31),[1]Aux!$F$31,IF(AND(G56&lt;[1]Aux!$E$31,G56&gt;[1]Aux!$E$32),[1]Aux!$F$32,IF(AND(G56&lt;[1]Aux!$E$32,G56&gt;[1]Aux!$E$33),[1]Aux!$F$33,IF(AND(G56&lt;[1]Aux!$E$33,G56&gt;[1]Aux!$E$34),[1]Aux!$F$34,IF(AND(G56&lt;[1]Aux!$E$34,G56&gt;[1]Aux!$E$35),[1]Aux!$F$35,IF(AND(G56&lt;[1]Aux!$E$35,G56&gt;[1]Aux!$E$36),[1]Aux!$F$36,IF(G56&lt;[1]Aux!$E$36,0,"Verificar")))))))))</f>
        <v>1</v>
      </c>
    </row>
    <row r="57" spans="1:13" x14ac:dyDescent="0.25">
      <c r="A57" s="3" t="s">
        <v>23</v>
      </c>
      <c r="B57" s="4" t="s">
        <v>14</v>
      </c>
      <c r="C57" s="4" t="s">
        <v>18</v>
      </c>
      <c r="D57" s="4">
        <v>0.15</v>
      </c>
      <c r="E57" s="12">
        <v>5285128207.7846804</v>
      </c>
      <c r="F57" s="12">
        <v>5640812286.3299999</v>
      </c>
      <c r="G57" s="6">
        <f t="shared" si="11"/>
        <v>1.0672990445191883</v>
      </c>
      <c r="H57" s="4">
        <f t="shared" si="9"/>
        <v>0.15</v>
      </c>
      <c r="I57" s="4"/>
      <c r="J57" s="7">
        <v>46143</v>
      </c>
      <c r="K57" s="8" t="s">
        <v>43</v>
      </c>
      <c r="L57" s="9" t="s">
        <v>17</v>
      </c>
      <c r="M57" s="10">
        <f>IF(G57&gt;=[1]Aux!$E$29,[1]Aux!$F$29,IF(AND(G57&lt;[1]Aux!$E$29,G57&gt;[1]Aux!$E$30),[1]Aux!$F$30,IF(AND(G57&lt;[1]Aux!$E$30,G57&gt;[1]Aux!$E$31),[1]Aux!$F$31,IF(AND(G57&lt;[1]Aux!$E$31,G57&gt;[1]Aux!$E$32),[1]Aux!$F$32,IF(AND(G57&lt;[1]Aux!$E$32,G57&gt;[1]Aux!$E$33),[1]Aux!$F$33,IF(AND(G57&lt;[1]Aux!$E$33,G57&gt;[1]Aux!$E$34),[1]Aux!$F$34,IF(AND(G57&lt;[1]Aux!$E$34,G57&gt;[1]Aux!$E$35),[1]Aux!$F$35,IF(AND(G57&lt;[1]Aux!$E$35,G57&gt;[1]Aux!$E$36),[1]Aux!$F$36,IF(G57&lt;[1]Aux!$E$36,0,"Verificar")))))))))</f>
        <v>1</v>
      </c>
    </row>
    <row r="58" spans="1:13" x14ac:dyDescent="0.25">
      <c r="A58" s="3" t="s">
        <v>23</v>
      </c>
      <c r="B58" s="4" t="s">
        <v>14</v>
      </c>
      <c r="C58" s="4" t="s">
        <v>19</v>
      </c>
      <c r="D58" s="4">
        <v>0.05</v>
      </c>
      <c r="E58" s="12">
        <v>5285128207.7846804</v>
      </c>
      <c r="F58" s="12">
        <v>5640812286.3299999</v>
      </c>
      <c r="G58" s="6">
        <f t="shared" si="11"/>
        <v>1.0672990445191883</v>
      </c>
      <c r="H58" s="4">
        <f t="shared" si="9"/>
        <v>0.05</v>
      </c>
      <c r="I58" s="4"/>
      <c r="J58" s="7">
        <v>46143</v>
      </c>
      <c r="K58" s="8" t="s">
        <v>43</v>
      </c>
      <c r="L58" s="9" t="s">
        <v>17</v>
      </c>
      <c r="M58" s="10">
        <f>IF(G58&gt;=[1]Aux!$E$29,[1]Aux!$F$29,IF(AND(G58&lt;[1]Aux!$E$29,G58&gt;[1]Aux!$E$30),[1]Aux!$F$30,IF(AND(G58&lt;[1]Aux!$E$30,G58&gt;[1]Aux!$E$31),[1]Aux!$F$31,IF(AND(G58&lt;[1]Aux!$E$31,G58&gt;[1]Aux!$E$32),[1]Aux!$F$32,IF(AND(G58&lt;[1]Aux!$E$32,G58&gt;[1]Aux!$E$33),[1]Aux!$F$33,IF(AND(G58&lt;[1]Aux!$E$33,G58&gt;[1]Aux!$E$34),[1]Aux!$F$34,IF(AND(G58&lt;[1]Aux!$E$34,G58&gt;[1]Aux!$E$35),[1]Aux!$F$35,IF(AND(G58&lt;[1]Aux!$E$35,G58&gt;[1]Aux!$E$36),[1]Aux!$F$36,IF(G58&lt;[1]Aux!$E$36,0,"Verificar")))))))))</f>
        <v>1</v>
      </c>
    </row>
    <row r="59" spans="1:13" x14ac:dyDescent="0.25">
      <c r="A59" s="3" t="s">
        <v>24</v>
      </c>
      <c r="B59" s="4" t="s">
        <v>14</v>
      </c>
      <c r="C59" s="4" t="s">
        <v>15</v>
      </c>
      <c r="D59" s="4">
        <v>0.05</v>
      </c>
      <c r="E59" s="4">
        <v>0</v>
      </c>
      <c r="F59" s="14">
        <v>0</v>
      </c>
      <c r="G59" s="6">
        <f t="shared" ref="G59:G62" si="12">IFERROR(F59/E59,0)</f>
        <v>0</v>
      </c>
      <c r="H59" s="4">
        <f t="shared" si="9"/>
        <v>0</v>
      </c>
      <c r="I59" s="4"/>
      <c r="J59" s="7" t="s">
        <v>25</v>
      </c>
      <c r="K59" s="8" t="s">
        <v>43</v>
      </c>
      <c r="L59" s="9" t="s">
        <v>26</v>
      </c>
      <c r="M59" s="10">
        <f>IF(G59&gt;=[1]Aux!$E$29,[1]Aux!$F$29,IF(AND(G59&lt;[1]Aux!$E$29,G59&gt;[1]Aux!$E$30),[1]Aux!$F$30,IF(AND(G59&lt;[1]Aux!$E$30,G59&gt;[1]Aux!$E$31),[1]Aux!$F$31,IF(AND(G59&lt;[1]Aux!$E$31,G59&gt;[1]Aux!$E$32),[1]Aux!$F$32,IF(AND(G59&lt;[1]Aux!$E$32,G59&gt;[1]Aux!$E$33),[1]Aux!$F$33,IF(AND(G59&lt;[1]Aux!$E$33,G59&gt;[1]Aux!$E$34),[1]Aux!$F$34,IF(AND(G59&lt;[1]Aux!$E$34,G59&gt;[1]Aux!$E$35),[1]Aux!$F$35,IF(AND(G59&lt;[1]Aux!$E$35,G59&gt;[1]Aux!$E$36),[1]Aux!$F$36,IF(G59&lt;[1]Aux!$E$36,0,"Verificar")))))))))</f>
        <v>0</v>
      </c>
    </row>
    <row r="60" spans="1:13" x14ac:dyDescent="0.25">
      <c r="A60" s="3" t="s">
        <v>24</v>
      </c>
      <c r="B60" s="4" t="s">
        <v>14</v>
      </c>
      <c r="C60" s="4" t="s">
        <v>18</v>
      </c>
      <c r="D60" s="4">
        <v>0.05</v>
      </c>
      <c r="E60" s="4">
        <v>0</v>
      </c>
      <c r="F60" s="14">
        <v>0</v>
      </c>
      <c r="G60" s="6">
        <f t="shared" si="12"/>
        <v>0</v>
      </c>
      <c r="H60" s="4">
        <f t="shared" si="9"/>
        <v>0</v>
      </c>
      <c r="I60" s="4"/>
      <c r="J60" s="7" t="s">
        <v>25</v>
      </c>
      <c r="K60" s="8" t="s">
        <v>43</v>
      </c>
      <c r="L60" s="9" t="s">
        <v>26</v>
      </c>
      <c r="M60" s="10">
        <f>IF(G60&gt;=[1]Aux!$E$29,[1]Aux!$F$29,IF(AND(G60&lt;[1]Aux!$E$29,G60&gt;[1]Aux!$E$30),[1]Aux!$F$30,IF(AND(G60&lt;[1]Aux!$E$30,G60&gt;[1]Aux!$E$31),[1]Aux!$F$31,IF(AND(G60&lt;[1]Aux!$E$31,G60&gt;[1]Aux!$E$32),[1]Aux!$F$32,IF(AND(G60&lt;[1]Aux!$E$32,G60&gt;[1]Aux!$E$33),[1]Aux!$F$33,IF(AND(G60&lt;[1]Aux!$E$33,G60&gt;[1]Aux!$E$34),[1]Aux!$F$34,IF(AND(G60&lt;[1]Aux!$E$34,G60&gt;[1]Aux!$E$35),[1]Aux!$F$35,IF(AND(G60&lt;[1]Aux!$E$35,G60&gt;[1]Aux!$E$36),[1]Aux!$F$36,IF(G60&lt;[1]Aux!$E$36,0,"Verificar")))))))))</f>
        <v>0</v>
      </c>
    </row>
    <row r="61" spans="1:13" x14ac:dyDescent="0.25">
      <c r="A61" s="3" t="s">
        <v>24</v>
      </c>
      <c r="B61" s="4" t="s">
        <v>14</v>
      </c>
      <c r="C61" s="4" t="s">
        <v>19</v>
      </c>
      <c r="D61" s="4">
        <v>0.05</v>
      </c>
      <c r="E61" s="4">
        <v>0</v>
      </c>
      <c r="F61" s="14">
        <v>0</v>
      </c>
      <c r="G61" s="6">
        <f t="shared" si="12"/>
        <v>0</v>
      </c>
      <c r="H61" s="4">
        <f t="shared" si="9"/>
        <v>0</v>
      </c>
      <c r="I61" s="4"/>
      <c r="J61" s="7" t="s">
        <v>25</v>
      </c>
      <c r="K61" s="8" t="s">
        <v>43</v>
      </c>
      <c r="L61" s="9" t="s">
        <v>26</v>
      </c>
      <c r="M61" s="10">
        <f>IF(G61&gt;=[1]Aux!$E$29,[1]Aux!$F$29,IF(AND(G61&lt;[1]Aux!$E$29,G61&gt;[1]Aux!$E$30),[1]Aux!$F$30,IF(AND(G61&lt;[1]Aux!$E$30,G61&gt;[1]Aux!$E$31),[1]Aux!$F$31,IF(AND(G61&lt;[1]Aux!$E$31,G61&gt;[1]Aux!$E$32),[1]Aux!$F$32,IF(AND(G61&lt;[1]Aux!$E$32,G61&gt;[1]Aux!$E$33),[1]Aux!$F$33,IF(AND(G61&lt;[1]Aux!$E$33,G61&gt;[1]Aux!$E$34),[1]Aux!$F$34,IF(AND(G61&lt;[1]Aux!$E$34,G61&gt;[1]Aux!$E$35),[1]Aux!$F$35,IF(AND(G61&lt;[1]Aux!$E$35,G61&gt;[1]Aux!$E$36),[1]Aux!$F$36,IF(G61&lt;[1]Aux!$E$36,0,"Verificar")))))))))</f>
        <v>0</v>
      </c>
    </row>
    <row r="62" spans="1:13" x14ac:dyDescent="0.25">
      <c r="A62" s="3" t="s">
        <v>24</v>
      </c>
      <c r="B62" s="4" t="s">
        <v>14</v>
      </c>
      <c r="C62" s="4" t="s">
        <v>22</v>
      </c>
      <c r="D62" s="4">
        <v>0.05</v>
      </c>
      <c r="E62" s="4">
        <v>0</v>
      </c>
      <c r="F62" s="14">
        <v>0</v>
      </c>
      <c r="G62" s="6">
        <f t="shared" si="12"/>
        <v>0</v>
      </c>
      <c r="H62" s="4">
        <f t="shared" si="9"/>
        <v>0</v>
      </c>
      <c r="I62" s="4"/>
      <c r="J62" s="7" t="s">
        <v>25</v>
      </c>
      <c r="K62" s="8" t="s">
        <v>43</v>
      </c>
      <c r="L62" s="9" t="s">
        <v>26</v>
      </c>
      <c r="M62" s="10">
        <f>IF(G62&gt;=[1]Aux!$E$29,[1]Aux!$F$29,IF(AND(G62&lt;[1]Aux!$E$29,G62&gt;[1]Aux!$E$30),[1]Aux!$F$30,IF(AND(G62&lt;[1]Aux!$E$30,G62&gt;[1]Aux!$E$31),[1]Aux!$F$31,IF(AND(G62&lt;[1]Aux!$E$31,G62&gt;[1]Aux!$E$32),[1]Aux!$F$32,IF(AND(G62&lt;[1]Aux!$E$32,G62&gt;[1]Aux!$E$33),[1]Aux!$F$33,IF(AND(G62&lt;[1]Aux!$E$33,G62&gt;[1]Aux!$E$34),[1]Aux!$F$34,IF(AND(G62&lt;[1]Aux!$E$34,G62&gt;[1]Aux!$E$35),[1]Aux!$F$35,IF(AND(G62&lt;[1]Aux!$E$35,G62&gt;[1]Aux!$E$36),[1]Aux!$F$36,IF(G62&lt;[1]Aux!$E$36,0,"Verificar")))))))))</f>
        <v>0</v>
      </c>
    </row>
    <row r="63" spans="1:13" x14ac:dyDescent="0.25">
      <c r="A63" s="3" t="s">
        <v>27</v>
      </c>
      <c r="B63" s="4" t="s">
        <v>14</v>
      </c>
      <c r="C63" s="4" t="s">
        <v>15</v>
      </c>
      <c r="D63" s="4">
        <v>0.05</v>
      </c>
      <c r="E63" s="4">
        <v>5.2600000000000001E-2</v>
      </c>
      <c r="F63" s="13">
        <v>3.6999999999999998E-2</v>
      </c>
      <c r="G63" s="4">
        <f>1-((F63-E63)/(1-E63))</f>
        <v>1.0164661177960734</v>
      </c>
      <c r="H63" s="4">
        <f t="shared" si="9"/>
        <v>0.05</v>
      </c>
      <c r="I63" s="4"/>
      <c r="J63" s="7">
        <v>46143</v>
      </c>
      <c r="K63" s="8" t="s">
        <v>43</v>
      </c>
      <c r="L63" s="9" t="s">
        <v>21</v>
      </c>
      <c r="M63" s="10">
        <f>IF(G63&gt;=[1]Aux!$E$29,[1]Aux!$F$29,IF(AND(G63&lt;[1]Aux!$E$29,G63&gt;[1]Aux!$E$30),[1]Aux!$F$30,IF(AND(G63&lt;[1]Aux!$E$30,G63&gt;[1]Aux!$E$31),[1]Aux!$F$31,IF(AND(G63&lt;[1]Aux!$E$31,G63&gt;[1]Aux!$E$32),[1]Aux!$F$32,IF(AND(G63&lt;[1]Aux!$E$32,G63&gt;[1]Aux!$E$33),[1]Aux!$F$33,IF(AND(G63&lt;[1]Aux!$E$33,G63&gt;[1]Aux!$E$34),[1]Aux!$F$34,IF(AND(G63&lt;[1]Aux!$E$34,G63&gt;[1]Aux!$E$35),[1]Aux!$F$35,IF(AND(G63&lt;[1]Aux!$E$35,G63&gt;[1]Aux!$E$36),[1]Aux!$F$36,IF(G63&lt;[1]Aux!$E$36,0,"Verificar")))))))))</f>
        <v>1</v>
      </c>
    </row>
    <row r="64" spans="1:13" x14ac:dyDescent="0.25">
      <c r="A64" s="3" t="s">
        <v>27</v>
      </c>
      <c r="B64" s="4" t="s">
        <v>14</v>
      </c>
      <c r="C64" s="4" t="s">
        <v>18</v>
      </c>
      <c r="D64" s="4">
        <v>0.05</v>
      </c>
      <c r="E64" s="4">
        <v>5.2600000000000001E-2</v>
      </c>
      <c r="F64" s="13">
        <v>3.6999999999999998E-2</v>
      </c>
      <c r="G64" s="4">
        <f t="shared" ref="G64:G66" si="13">1-((F64-E64)/(1-E64))</f>
        <v>1.0164661177960734</v>
      </c>
      <c r="H64" s="4">
        <f t="shared" si="9"/>
        <v>0.05</v>
      </c>
      <c r="I64" s="4"/>
      <c r="J64" s="7">
        <v>46143</v>
      </c>
      <c r="K64" s="8" t="s">
        <v>43</v>
      </c>
      <c r="L64" s="9" t="s">
        <v>21</v>
      </c>
      <c r="M64" s="10">
        <f>IF(G64&gt;=[1]Aux!$E$29,[1]Aux!$F$29,IF(AND(G64&lt;[1]Aux!$E$29,G64&gt;[1]Aux!$E$30),[1]Aux!$F$30,IF(AND(G64&lt;[1]Aux!$E$30,G64&gt;[1]Aux!$E$31),[1]Aux!$F$31,IF(AND(G64&lt;[1]Aux!$E$31,G64&gt;[1]Aux!$E$32),[1]Aux!$F$32,IF(AND(G64&lt;[1]Aux!$E$32,G64&gt;[1]Aux!$E$33),[1]Aux!$F$33,IF(AND(G64&lt;[1]Aux!$E$33,G64&gt;[1]Aux!$E$34),[1]Aux!$F$34,IF(AND(G64&lt;[1]Aux!$E$34,G64&gt;[1]Aux!$E$35),[1]Aux!$F$35,IF(AND(G64&lt;[1]Aux!$E$35,G64&gt;[1]Aux!$E$36),[1]Aux!$F$36,IF(G64&lt;[1]Aux!$E$36,0,"Verificar")))))))))</f>
        <v>1</v>
      </c>
    </row>
    <row r="65" spans="1:13" x14ac:dyDescent="0.25">
      <c r="A65" s="3" t="s">
        <v>27</v>
      </c>
      <c r="B65" s="4" t="s">
        <v>14</v>
      </c>
      <c r="C65" s="4" t="s">
        <v>19</v>
      </c>
      <c r="D65" s="4">
        <v>0.05</v>
      </c>
      <c r="E65" s="4">
        <v>5.2600000000000001E-2</v>
      </c>
      <c r="F65" s="13">
        <v>3.6999999999999998E-2</v>
      </c>
      <c r="G65" s="4">
        <f t="shared" si="13"/>
        <v>1.0164661177960734</v>
      </c>
      <c r="H65" s="4">
        <f t="shared" si="9"/>
        <v>0.05</v>
      </c>
      <c r="I65" s="4"/>
      <c r="J65" s="7">
        <v>46143</v>
      </c>
      <c r="K65" s="8" t="s">
        <v>43</v>
      </c>
      <c r="L65" s="9" t="s">
        <v>21</v>
      </c>
      <c r="M65" s="10">
        <f>IF(G65&gt;=[1]Aux!$E$29,[1]Aux!$F$29,IF(AND(G65&lt;[1]Aux!$E$29,G65&gt;[1]Aux!$E$30),[1]Aux!$F$30,IF(AND(G65&lt;[1]Aux!$E$30,G65&gt;[1]Aux!$E$31),[1]Aux!$F$31,IF(AND(G65&lt;[1]Aux!$E$31,G65&gt;[1]Aux!$E$32),[1]Aux!$F$32,IF(AND(G65&lt;[1]Aux!$E$32,G65&gt;[1]Aux!$E$33),[1]Aux!$F$33,IF(AND(G65&lt;[1]Aux!$E$33,G65&gt;[1]Aux!$E$34),[1]Aux!$F$34,IF(AND(G65&lt;[1]Aux!$E$34,G65&gt;[1]Aux!$E$35),[1]Aux!$F$35,IF(AND(G65&lt;[1]Aux!$E$35,G65&gt;[1]Aux!$E$36),[1]Aux!$F$36,IF(G65&lt;[1]Aux!$E$36,0,"Verificar")))))))))</f>
        <v>1</v>
      </c>
    </row>
    <row r="66" spans="1:13" x14ac:dyDescent="0.25">
      <c r="A66" s="3" t="s">
        <v>27</v>
      </c>
      <c r="B66" s="4" t="s">
        <v>14</v>
      </c>
      <c r="C66" s="4" t="s">
        <v>22</v>
      </c>
      <c r="D66" s="4">
        <v>0.05</v>
      </c>
      <c r="E66" s="4">
        <v>5.2600000000000001E-2</v>
      </c>
      <c r="F66" s="13">
        <v>3.6999999999999998E-2</v>
      </c>
      <c r="G66" s="4">
        <f t="shared" si="13"/>
        <v>1.0164661177960734</v>
      </c>
      <c r="H66" s="4">
        <f t="shared" si="9"/>
        <v>0.05</v>
      </c>
      <c r="I66" s="4"/>
      <c r="J66" s="7">
        <v>46143</v>
      </c>
      <c r="K66" s="8" t="s">
        <v>43</v>
      </c>
      <c r="L66" s="9" t="s">
        <v>21</v>
      </c>
      <c r="M66" s="10">
        <f>IF(G66&gt;=[1]Aux!$E$29,[1]Aux!$F$29,IF(AND(G66&lt;[1]Aux!$E$29,G66&gt;[1]Aux!$E$30),[1]Aux!$F$30,IF(AND(G66&lt;[1]Aux!$E$30,G66&gt;[1]Aux!$E$31),[1]Aux!$F$31,IF(AND(G66&lt;[1]Aux!$E$31,G66&gt;[1]Aux!$E$32),[1]Aux!$F$32,IF(AND(G66&lt;[1]Aux!$E$32,G66&gt;[1]Aux!$E$33),[1]Aux!$F$33,IF(AND(G66&lt;[1]Aux!$E$33,G66&gt;[1]Aux!$E$34),[1]Aux!$F$34,IF(AND(G66&lt;[1]Aux!$E$34,G66&gt;[1]Aux!$E$35),[1]Aux!$F$35,IF(AND(G66&lt;[1]Aux!$E$35,G66&gt;[1]Aux!$E$36),[1]Aux!$F$36,IF(G66&lt;[1]Aux!$E$36,0,"Verificar")))))))))</f>
        <v>1</v>
      </c>
    </row>
    <row r="67" spans="1:13" x14ac:dyDescent="0.25">
      <c r="A67" s="3" t="s">
        <v>28</v>
      </c>
      <c r="B67" s="4" t="s">
        <v>14</v>
      </c>
      <c r="C67" s="4" t="s">
        <v>18</v>
      </c>
      <c r="D67" s="4">
        <v>0.1</v>
      </c>
      <c r="E67" s="17">
        <v>256604955.30919999</v>
      </c>
      <c r="F67" s="12">
        <v>348500290.44</v>
      </c>
      <c r="G67" s="6">
        <f t="shared" ref="G67:G71" si="14">F67/E67</f>
        <v>1.3581198773814378</v>
      </c>
      <c r="H67" s="4">
        <f t="shared" si="9"/>
        <v>0.1</v>
      </c>
      <c r="I67" s="4"/>
      <c r="J67" s="7">
        <v>46143</v>
      </c>
      <c r="K67" s="8" t="s">
        <v>43</v>
      </c>
      <c r="L67" s="9" t="s">
        <v>17</v>
      </c>
      <c r="M67" s="10">
        <f>IF(G67&gt;=[1]Aux!$E$29,[1]Aux!$F$29,IF(AND(G67&lt;[1]Aux!$E$29,G67&gt;[1]Aux!$E$30),[1]Aux!$F$30,IF(AND(G67&lt;[1]Aux!$E$30,G67&gt;[1]Aux!$E$31),[1]Aux!$F$31,IF(AND(G67&lt;[1]Aux!$E$31,G67&gt;[1]Aux!$E$32),[1]Aux!$F$32,IF(AND(G67&lt;[1]Aux!$E$32,G67&gt;[1]Aux!$E$33),[1]Aux!$F$33,IF(AND(G67&lt;[1]Aux!$E$33,G67&gt;[1]Aux!$E$34),[1]Aux!$F$34,IF(AND(G67&lt;[1]Aux!$E$34,G67&gt;[1]Aux!$E$35),[1]Aux!$F$35,IF(AND(G67&lt;[1]Aux!$E$35,G67&gt;[1]Aux!$E$36),[1]Aux!$F$36,IF(G67&lt;[1]Aux!$E$36,0,"Verificar")))))))))</f>
        <v>1</v>
      </c>
    </row>
    <row r="68" spans="1:13" x14ac:dyDescent="0.25">
      <c r="A68" s="3" t="s">
        <v>29</v>
      </c>
      <c r="B68" s="4" t="s">
        <v>14</v>
      </c>
      <c r="C68" s="4" t="s">
        <v>19</v>
      </c>
      <c r="D68" s="4">
        <v>0.15</v>
      </c>
      <c r="E68" s="18">
        <v>0.98234864402896738</v>
      </c>
      <c r="F68" s="4">
        <v>1.1262000000000001</v>
      </c>
      <c r="G68" s="6">
        <f t="shared" si="14"/>
        <v>1.1464361526280997</v>
      </c>
      <c r="H68" s="4">
        <f t="shared" si="9"/>
        <v>0.15</v>
      </c>
      <c r="I68" s="4"/>
      <c r="J68" s="7">
        <v>46143</v>
      </c>
      <c r="K68" s="8" t="s">
        <v>43</v>
      </c>
      <c r="L68" s="9" t="s">
        <v>21</v>
      </c>
      <c r="M68" s="10">
        <f>IF(G68&gt;=[1]Aux!$E$29,[1]Aux!$F$29,IF(AND(G68&lt;[1]Aux!$E$29,G68&gt;[1]Aux!$E$30),[1]Aux!$F$30,IF(AND(G68&lt;[1]Aux!$E$30,G68&gt;[1]Aux!$E$31),[1]Aux!$F$31,IF(AND(G68&lt;[1]Aux!$E$31,G68&gt;[1]Aux!$E$32),[1]Aux!$F$32,IF(AND(G68&lt;[1]Aux!$E$32,G68&gt;[1]Aux!$E$33),[1]Aux!$F$33,IF(AND(G68&lt;[1]Aux!$E$33,G68&gt;[1]Aux!$E$34),[1]Aux!$F$34,IF(AND(G68&lt;[1]Aux!$E$34,G68&gt;[1]Aux!$E$35),[1]Aux!$F$35,IF(AND(G68&lt;[1]Aux!$E$35,G68&gt;[1]Aux!$E$36),[1]Aux!$F$36,IF(G68&lt;[1]Aux!$E$36,0,"Verificar")))))))))</f>
        <v>1</v>
      </c>
    </row>
    <row r="69" spans="1:13" x14ac:dyDescent="0.25">
      <c r="A69" s="3" t="s">
        <v>30</v>
      </c>
      <c r="B69" s="4" t="s">
        <v>14</v>
      </c>
      <c r="C69" s="4" t="s">
        <v>22</v>
      </c>
      <c r="D69" s="4">
        <v>0.15</v>
      </c>
      <c r="E69" s="12">
        <v>1</v>
      </c>
      <c r="F69" s="4">
        <v>1</v>
      </c>
      <c r="G69" s="6">
        <f t="shared" si="14"/>
        <v>1</v>
      </c>
      <c r="H69" s="4">
        <f t="shared" si="9"/>
        <v>0.15</v>
      </c>
      <c r="I69" s="4"/>
      <c r="J69" s="7">
        <v>46143</v>
      </c>
      <c r="K69" s="8" t="s">
        <v>43</v>
      </c>
      <c r="L69" s="9" t="s">
        <v>21</v>
      </c>
      <c r="M69" s="10">
        <f>IF(G69&gt;=[1]Aux!$E$29,[1]Aux!$F$29,IF(AND(G69&lt;[1]Aux!$E$29,G69&gt;[1]Aux!$E$30),[1]Aux!$F$30,IF(AND(G69&lt;[1]Aux!$E$30,G69&gt;[1]Aux!$E$31),[1]Aux!$F$31,IF(AND(G69&lt;[1]Aux!$E$31,G69&gt;[1]Aux!$E$32),[1]Aux!$F$32,IF(AND(G69&lt;[1]Aux!$E$32,G69&gt;[1]Aux!$E$33),[1]Aux!$F$33,IF(AND(G69&lt;[1]Aux!$E$33,G69&gt;[1]Aux!$E$34),[1]Aux!$F$34,IF(AND(G69&lt;[1]Aux!$E$34,G69&gt;[1]Aux!$E$35),[1]Aux!$F$35,IF(AND(G69&lt;[1]Aux!$E$35,G69&gt;[1]Aux!$E$36),[1]Aux!$F$36,IF(G69&lt;[1]Aux!$E$36,0,"Verificar")))))))))</f>
        <v>1</v>
      </c>
    </row>
    <row r="70" spans="1:13" x14ac:dyDescent="0.25">
      <c r="A70" s="3" t="s">
        <v>31</v>
      </c>
      <c r="B70" s="4" t="s">
        <v>14</v>
      </c>
      <c r="C70" s="4" t="s">
        <v>22</v>
      </c>
      <c r="D70" s="4">
        <v>0.15</v>
      </c>
      <c r="E70" s="12">
        <v>1</v>
      </c>
      <c r="F70" s="4">
        <v>0.25</v>
      </c>
      <c r="G70" s="6">
        <f t="shared" si="14"/>
        <v>0.25</v>
      </c>
      <c r="H70" s="4">
        <f t="shared" si="9"/>
        <v>0</v>
      </c>
      <c r="I70" s="4"/>
      <c r="J70" s="7">
        <v>46143</v>
      </c>
      <c r="K70" s="8" t="s">
        <v>43</v>
      </c>
      <c r="L70" s="9" t="s">
        <v>21</v>
      </c>
      <c r="M70" s="10">
        <f>IF(G70&gt;=[1]Aux!$E$29,[1]Aux!$F$29,IF(AND(G70&lt;[1]Aux!$E$29,G70&gt;[1]Aux!$E$30),[1]Aux!$F$30,IF(AND(G70&lt;[1]Aux!$E$30,G70&gt;[1]Aux!$E$31),[1]Aux!$F$31,IF(AND(G70&lt;[1]Aux!$E$31,G70&gt;[1]Aux!$E$32),[1]Aux!$F$32,IF(AND(G70&lt;[1]Aux!$E$32,G70&gt;[1]Aux!$E$33),[1]Aux!$F$33,IF(AND(G70&lt;[1]Aux!$E$33,G70&gt;[1]Aux!$E$34),[1]Aux!$F$34,IF(AND(G70&lt;[1]Aux!$E$34,G70&gt;[1]Aux!$E$35),[1]Aux!$F$35,IF(AND(G70&lt;[1]Aux!$E$35,G70&gt;[1]Aux!$E$36),[1]Aux!$F$36,IF(G70&lt;[1]Aux!$E$36,0,"Verificar")))))))))</f>
        <v>0</v>
      </c>
    </row>
    <row r="71" spans="1:13" x14ac:dyDescent="0.25">
      <c r="A71" s="3" t="s">
        <v>32</v>
      </c>
      <c r="B71" s="4" t="s">
        <v>14</v>
      </c>
      <c r="C71" s="4" t="s">
        <v>22</v>
      </c>
      <c r="D71" s="4">
        <v>0.1</v>
      </c>
      <c r="E71" s="14">
        <v>1</v>
      </c>
      <c r="F71" s="4">
        <v>0.4</v>
      </c>
      <c r="G71" s="6">
        <f t="shared" si="14"/>
        <v>0.4</v>
      </c>
      <c r="H71" s="4">
        <f t="shared" si="9"/>
        <v>0</v>
      </c>
      <c r="I71" s="4"/>
      <c r="J71" s="7">
        <v>46143</v>
      </c>
      <c r="K71" s="8" t="s">
        <v>43</v>
      </c>
      <c r="L71" s="9" t="s">
        <v>21</v>
      </c>
      <c r="M71" s="10">
        <f>IF(G71&gt;=[1]Aux!$E$29,[1]Aux!$F$29,IF(AND(G71&lt;[1]Aux!$E$29,G71&gt;[1]Aux!$E$30),[1]Aux!$F$30,IF(AND(G71&lt;[1]Aux!$E$30,G71&gt;[1]Aux!$E$31),[1]Aux!$F$31,IF(AND(G71&lt;[1]Aux!$E$31,G71&gt;[1]Aux!$E$32),[1]Aux!$F$32,IF(AND(G71&lt;[1]Aux!$E$32,G71&gt;[1]Aux!$E$33),[1]Aux!$F$33,IF(AND(G71&lt;[1]Aux!$E$33,G71&gt;[1]Aux!$E$34),[1]Aux!$F$34,IF(AND(G71&lt;[1]Aux!$E$34,G71&gt;[1]Aux!$E$35),[1]Aux!$F$35,IF(AND(G71&lt;[1]Aux!$E$35,G71&gt;[1]Aux!$E$36),[1]Aux!$F$36,IF(G71&lt;[1]Aux!$E$36,0,"Verificar")))))))))</f>
        <v>0</v>
      </c>
    </row>
    <row r="72" spans="1:13" x14ac:dyDescent="0.25">
      <c r="A72" s="3" t="s">
        <v>33</v>
      </c>
      <c r="B72" s="4" t="s">
        <v>34</v>
      </c>
      <c r="C72" s="4" t="s">
        <v>15</v>
      </c>
      <c r="D72" s="4">
        <v>0.1</v>
      </c>
      <c r="E72" s="4" t="s">
        <v>35</v>
      </c>
      <c r="F72" s="4"/>
      <c r="G72" s="6">
        <f>IFERROR(F72/E72,0)</f>
        <v>0</v>
      </c>
      <c r="H72" s="4">
        <f t="shared" si="9"/>
        <v>0</v>
      </c>
      <c r="I72" s="4"/>
      <c r="J72" s="7" t="s">
        <v>25</v>
      </c>
      <c r="K72" s="8" t="s">
        <v>43</v>
      </c>
      <c r="L72" s="4" t="s">
        <v>35</v>
      </c>
      <c r="M72" s="10">
        <f>IF(G72&gt;=[1]Aux!$E$29,[1]Aux!$F$29,IF(AND(G72&lt;[1]Aux!$E$29,G72&gt;[1]Aux!$E$30),[1]Aux!$F$30,IF(AND(G72&lt;[1]Aux!$E$30,G72&gt;[1]Aux!$E$31),[1]Aux!$F$31,IF(AND(G72&lt;[1]Aux!$E$31,G72&gt;[1]Aux!$E$32),[1]Aux!$F$32,IF(AND(G72&lt;[1]Aux!$E$32,G72&gt;[1]Aux!$E$33),[1]Aux!$F$33,IF(AND(G72&lt;[1]Aux!$E$33,G72&gt;[1]Aux!$E$34),[1]Aux!$F$34,IF(AND(G72&lt;[1]Aux!$E$34,G72&gt;[1]Aux!$E$35),[1]Aux!$F$35,IF(AND(G72&lt;[1]Aux!$E$35,G72&gt;[1]Aux!$E$36),[1]Aux!$F$36,IF(G72&lt;[1]Aux!$E$36,0,"Verificar")))))))))</f>
        <v>0</v>
      </c>
    </row>
    <row r="73" spans="1:13" x14ac:dyDescent="0.25">
      <c r="A73" s="3" t="s">
        <v>33</v>
      </c>
      <c r="B73" s="4" t="s">
        <v>34</v>
      </c>
      <c r="C73" s="4" t="s">
        <v>18</v>
      </c>
      <c r="D73" s="4">
        <v>0.1</v>
      </c>
      <c r="E73" s="4" t="s">
        <v>35</v>
      </c>
      <c r="F73" s="4"/>
      <c r="G73" s="6">
        <f t="shared" ref="G73:G95" si="15">IFERROR(F73/E73,0)</f>
        <v>0</v>
      </c>
      <c r="H73" s="4">
        <f t="shared" si="9"/>
        <v>0</v>
      </c>
      <c r="I73" s="4"/>
      <c r="J73" s="7" t="s">
        <v>25</v>
      </c>
      <c r="K73" s="8" t="s">
        <v>43</v>
      </c>
      <c r="L73" s="4" t="s">
        <v>35</v>
      </c>
      <c r="M73" s="10">
        <f>IF(G73&gt;=[1]Aux!$E$29,[1]Aux!$F$29,IF(AND(G73&lt;[1]Aux!$E$29,G73&gt;[1]Aux!$E$30),[1]Aux!$F$30,IF(AND(G73&lt;[1]Aux!$E$30,G73&gt;[1]Aux!$E$31),[1]Aux!$F$31,IF(AND(G73&lt;[1]Aux!$E$31,G73&gt;[1]Aux!$E$32),[1]Aux!$F$32,IF(AND(G73&lt;[1]Aux!$E$32,G73&gt;[1]Aux!$E$33),[1]Aux!$F$33,IF(AND(G73&lt;[1]Aux!$E$33,G73&gt;[1]Aux!$E$34),[1]Aux!$F$34,IF(AND(G73&lt;[1]Aux!$E$34,G73&gt;[1]Aux!$E$35),[1]Aux!$F$35,IF(AND(G73&lt;[1]Aux!$E$35,G73&gt;[1]Aux!$E$36),[1]Aux!$F$36,IF(G73&lt;[1]Aux!$E$36,0,"Verificar")))))))))</f>
        <v>0</v>
      </c>
    </row>
    <row r="74" spans="1:13" x14ac:dyDescent="0.25">
      <c r="A74" s="3" t="s">
        <v>33</v>
      </c>
      <c r="B74" s="4" t="s">
        <v>34</v>
      </c>
      <c r="C74" s="4" t="s">
        <v>19</v>
      </c>
      <c r="D74" s="4">
        <v>0.1</v>
      </c>
      <c r="E74" s="4" t="s">
        <v>35</v>
      </c>
      <c r="F74" s="4"/>
      <c r="G74" s="6">
        <f t="shared" si="15"/>
        <v>0</v>
      </c>
      <c r="H74" s="4">
        <f t="shared" si="9"/>
        <v>0</v>
      </c>
      <c r="I74" s="4"/>
      <c r="J74" s="7" t="s">
        <v>25</v>
      </c>
      <c r="K74" s="8" t="s">
        <v>43</v>
      </c>
      <c r="L74" s="4" t="s">
        <v>35</v>
      </c>
      <c r="M74" s="10">
        <f>IF(G74&gt;=[1]Aux!$E$29,[1]Aux!$F$29,IF(AND(G74&lt;[1]Aux!$E$29,G74&gt;[1]Aux!$E$30),[1]Aux!$F$30,IF(AND(G74&lt;[1]Aux!$E$30,G74&gt;[1]Aux!$E$31),[1]Aux!$F$31,IF(AND(G74&lt;[1]Aux!$E$31,G74&gt;[1]Aux!$E$32),[1]Aux!$F$32,IF(AND(G74&lt;[1]Aux!$E$32,G74&gt;[1]Aux!$E$33),[1]Aux!$F$33,IF(AND(G74&lt;[1]Aux!$E$33,G74&gt;[1]Aux!$E$34),[1]Aux!$F$34,IF(AND(G74&lt;[1]Aux!$E$34,G74&gt;[1]Aux!$E$35),[1]Aux!$F$35,IF(AND(G74&lt;[1]Aux!$E$35,G74&gt;[1]Aux!$E$36),[1]Aux!$F$36,IF(G74&lt;[1]Aux!$E$36,0,"Verificar")))))))))</f>
        <v>0</v>
      </c>
    </row>
    <row r="75" spans="1:13" x14ac:dyDescent="0.25">
      <c r="A75" s="3" t="s">
        <v>33</v>
      </c>
      <c r="B75" s="4" t="s">
        <v>34</v>
      </c>
      <c r="C75" s="4" t="s">
        <v>22</v>
      </c>
      <c r="D75" s="4">
        <v>0.1</v>
      </c>
      <c r="E75" s="4" t="s">
        <v>35</v>
      </c>
      <c r="F75" s="4"/>
      <c r="G75" s="6">
        <f t="shared" si="15"/>
        <v>0</v>
      </c>
      <c r="H75" s="4">
        <f t="shared" si="9"/>
        <v>0</v>
      </c>
      <c r="I75" s="4"/>
      <c r="J75" s="7" t="s">
        <v>25</v>
      </c>
      <c r="K75" s="8" t="s">
        <v>43</v>
      </c>
      <c r="L75" s="4" t="s">
        <v>35</v>
      </c>
      <c r="M75" s="10">
        <f>IF(G75&gt;=[1]Aux!$E$29,[1]Aux!$F$29,IF(AND(G75&lt;[1]Aux!$E$29,G75&gt;[1]Aux!$E$30),[1]Aux!$F$30,IF(AND(G75&lt;[1]Aux!$E$30,G75&gt;[1]Aux!$E$31),[1]Aux!$F$31,IF(AND(G75&lt;[1]Aux!$E$31,G75&gt;[1]Aux!$E$32),[1]Aux!$F$32,IF(AND(G75&lt;[1]Aux!$E$32,G75&gt;[1]Aux!$E$33),[1]Aux!$F$33,IF(AND(G75&lt;[1]Aux!$E$33,G75&gt;[1]Aux!$E$34),[1]Aux!$F$34,IF(AND(G75&lt;[1]Aux!$E$34,G75&gt;[1]Aux!$E$35),[1]Aux!$F$35,IF(AND(G75&lt;[1]Aux!$E$35,G75&gt;[1]Aux!$E$36),[1]Aux!$F$36,IF(G75&lt;[1]Aux!$E$36,0,"Verificar")))))))))</f>
        <v>0</v>
      </c>
    </row>
    <row r="76" spans="1:13" x14ac:dyDescent="0.25">
      <c r="A76" s="3" t="s">
        <v>36</v>
      </c>
      <c r="B76" s="4" t="s">
        <v>34</v>
      </c>
      <c r="C76" s="4" t="s">
        <v>15</v>
      </c>
      <c r="D76" s="4">
        <v>0.05</v>
      </c>
      <c r="E76" s="4" t="s">
        <v>35</v>
      </c>
      <c r="F76" s="4"/>
      <c r="G76" s="6">
        <f t="shared" si="15"/>
        <v>0</v>
      </c>
      <c r="H76" s="4">
        <f t="shared" si="9"/>
        <v>0</v>
      </c>
      <c r="I76" s="4"/>
      <c r="J76" s="7" t="s">
        <v>25</v>
      </c>
      <c r="K76" s="8" t="s">
        <v>43</v>
      </c>
      <c r="L76" s="4" t="s">
        <v>35</v>
      </c>
      <c r="M76" s="10">
        <f>IF(G76&gt;=[1]Aux!$E$29,[1]Aux!$F$29,IF(AND(G76&lt;[1]Aux!$E$29,G76&gt;[1]Aux!$E$30),[1]Aux!$F$30,IF(AND(G76&lt;[1]Aux!$E$30,G76&gt;[1]Aux!$E$31),[1]Aux!$F$31,IF(AND(G76&lt;[1]Aux!$E$31,G76&gt;[1]Aux!$E$32),[1]Aux!$F$32,IF(AND(G76&lt;[1]Aux!$E$32,G76&gt;[1]Aux!$E$33),[1]Aux!$F$33,IF(AND(G76&lt;[1]Aux!$E$33,G76&gt;[1]Aux!$E$34),[1]Aux!$F$34,IF(AND(G76&lt;[1]Aux!$E$34,G76&gt;[1]Aux!$E$35),[1]Aux!$F$35,IF(AND(G76&lt;[1]Aux!$E$35,G76&gt;[1]Aux!$E$36),[1]Aux!$F$36,IF(G76&lt;[1]Aux!$E$36,0,"Verificar")))))))))</f>
        <v>0</v>
      </c>
    </row>
    <row r="77" spans="1:13" x14ac:dyDescent="0.25">
      <c r="A77" s="3" t="s">
        <v>36</v>
      </c>
      <c r="B77" s="4" t="s">
        <v>34</v>
      </c>
      <c r="C77" s="4" t="s">
        <v>18</v>
      </c>
      <c r="D77" s="4">
        <v>0.05</v>
      </c>
      <c r="E77" s="4" t="s">
        <v>35</v>
      </c>
      <c r="F77" s="4"/>
      <c r="G77" s="6">
        <f t="shared" si="15"/>
        <v>0</v>
      </c>
      <c r="H77" s="4">
        <f t="shared" si="9"/>
        <v>0</v>
      </c>
      <c r="I77" s="4"/>
      <c r="J77" s="7" t="s">
        <v>25</v>
      </c>
      <c r="K77" s="8" t="s">
        <v>43</v>
      </c>
      <c r="L77" s="4" t="s">
        <v>35</v>
      </c>
      <c r="M77" s="10">
        <f>IF(G77&gt;=[1]Aux!$E$29,[1]Aux!$F$29,IF(AND(G77&lt;[1]Aux!$E$29,G77&gt;[1]Aux!$E$30),[1]Aux!$F$30,IF(AND(G77&lt;[1]Aux!$E$30,G77&gt;[1]Aux!$E$31),[1]Aux!$F$31,IF(AND(G77&lt;[1]Aux!$E$31,G77&gt;[1]Aux!$E$32),[1]Aux!$F$32,IF(AND(G77&lt;[1]Aux!$E$32,G77&gt;[1]Aux!$E$33),[1]Aux!$F$33,IF(AND(G77&lt;[1]Aux!$E$33,G77&gt;[1]Aux!$E$34),[1]Aux!$F$34,IF(AND(G77&lt;[1]Aux!$E$34,G77&gt;[1]Aux!$E$35),[1]Aux!$F$35,IF(AND(G77&lt;[1]Aux!$E$35,G77&gt;[1]Aux!$E$36),[1]Aux!$F$36,IF(G77&lt;[1]Aux!$E$36,0,"Verificar")))))))))</f>
        <v>0</v>
      </c>
    </row>
    <row r="78" spans="1:13" x14ac:dyDescent="0.25">
      <c r="A78" s="3" t="s">
        <v>36</v>
      </c>
      <c r="B78" s="4" t="s">
        <v>34</v>
      </c>
      <c r="C78" s="4" t="s">
        <v>19</v>
      </c>
      <c r="D78" s="4">
        <v>0.05</v>
      </c>
      <c r="E78" s="4" t="s">
        <v>35</v>
      </c>
      <c r="F78" s="4"/>
      <c r="G78" s="6">
        <f t="shared" si="15"/>
        <v>0</v>
      </c>
      <c r="H78" s="4">
        <f t="shared" si="9"/>
        <v>0</v>
      </c>
      <c r="I78" s="4"/>
      <c r="J78" s="7" t="s">
        <v>25</v>
      </c>
      <c r="K78" s="8" t="s">
        <v>43</v>
      </c>
      <c r="L78" s="4" t="s">
        <v>35</v>
      </c>
      <c r="M78" s="10">
        <f>IF(G78&gt;=[1]Aux!$E$29,[1]Aux!$F$29,IF(AND(G78&lt;[1]Aux!$E$29,G78&gt;[1]Aux!$E$30),[1]Aux!$F$30,IF(AND(G78&lt;[1]Aux!$E$30,G78&gt;[1]Aux!$E$31),[1]Aux!$F$31,IF(AND(G78&lt;[1]Aux!$E$31,G78&gt;[1]Aux!$E$32),[1]Aux!$F$32,IF(AND(G78&lt;[1]Aux!$E$32,G78&gt;[1]Aux!$E$33),[1]Aux!$F$33,IF(AND(G78&lt;[1]Aux!$E$33,G78&gt;[1]Aux!$E$34),[1]Aux!$F$34,IF(AND(G78&lt;[1]Aux!$E$34,G78&gt;[1]Aux!$E$35),[1]Aux!$F$35,IF(AND(G78&lt;[1]Aux!$E$35,G78&gt;[1]Aux!$E$36),[1]Aux!$F$36,IF(G78&lt;[1]Aux!$E$36,0,"Verificar")))))))))</f>
        <v>0</v>
      </c>
    </row>
    <row r="79" spans="1:13" x14ac:dyDescent="0.25">
      <c r="A79" s="3" t="s">
        <v>36</v>
      </c>
      <c r="B79" s="4" t="s">
        <v>34</v>
      </c>
      <c r="C79" s="4" t="s">
        <v>22</v>
      </c>
      <c r="D79" s="4">
        <v>0.05</v>
      </c>
      <c r="E79" s="4" t="s">
        <v>35</v>
      </c>
      <c r="F79" s="4"/>
      <c r="G79" s="6">
        <f t="shared" si="15"/>
        <v>0</v>
      </c>
      <c r="H79" s="4">
        <f t="shared" si="9"/>
        <v>0</v>
      </c>
      <c r="I79" s="4"/>
      <c r="J79" s="7" t="s">
        <v>25</v>
      </c>
      <c r="K79" s="8" t="s">
        <v>43</v>
      </c>
      <c r="L79" s="4" t="s">
        <v>35</v>
      </c>
      <c r="M79" s="10">
        <f>IF(G79&gt;=[1]Aux!$E$29,[1]Aux!$F$29,IF(AND(G79&lt;[1]Aux!$E$29,G79&gt;[1]Aux!$E$30),[1]Aux!$F$30,IF(AND(G79&lt;[1]Aux!$E$30,G79&gt;[1]Aux!$E$31),[1]Aux!$F$31,IF(AND(G79&lt;[1]Aux!$E$31,G79&gt;[1]Aux!$E$32),[1]Aux!$F$32,IF(AND(G79&lt;[1]Aux!$E$32,G79&gt;[1]Aux!$E$33),[1]Aux!$F$33,IF(AND(G79&lt;[1]Aux!$E$33,G79&gt;[1]Aux!$E$34),[1]Aux!$F$34,IF(AND(G79&lt;[1]Aux!$E$34,G79&gt;[1]Aux!$E$35),[1]Aux!$F$35,IF(AND(G79&lt;[1]Aux!$E$35,G79&gt;[1]Aux!$E$36),[1]Aux!$F$36,IF(G79&lt;[1]Aux!$E$36,0,"Verificar")))))))))</f>
        <v>0</v>
      </c>
    </row>
    <row r="80" spans="1:13" x14ac:dyDescent="0.25">
      <c r="A80" s="3" t="s">
        <v>37</v>
      </c>
      <c r="B80" s="4" t="s">
        <v>34</v>
      </c>
      <c r="C80" s="4" t="s">
        <v>15</v>
      </c>
      <c r="D80" s="4">
        <v>0.05</v>
      </c>
      <c r="E80" s="4" t="s">
        <v>35</v>
      </c>
      <c r="F80" s="4"/>
      <c r="G80" s="6">
        <f t="shared" si="15"/>
        <v>0</v>
      </c>
      <c r="H80" s="4">
        <f t="shared" si="9"/>
        <v>0</v>
      </c>
      <c r="I80" s="4"/>
      <c r="J80" s="7" t="s">
        <v>25</v>
      </c>
      <c r="K80" s="8" t="s">
        <v>43</v>
      </c>
      <c r="L80" s="4" t="s">
        <v>35</v>
      </c>
      <c r="M80" s="10">
        <f>IF(G80&gt;=[1]Aux!$E$29,[1]Aux!$F$29,IF(AND(G80&lt;[1]Aux!$E$29,G80&gt;[1]Aux!$E$30),[1]Aux!$F$30,IF(AND(G80&lt;[1]Aux!$E$30,G80&gt;[1]Aux!$E$31),[1]Aux!$F$31,IF(AND(G80&lt;[1]Aux!$E$31,G80&gt;[1]Aux!$E$32),[1]Aux!$F$32,IF(AND(G80&lt;[1]Aux!$E$32,G80&gt;[1]Aux!$E$33),[1]Aux!$F$33,IF(AND(G80&lt;[1]Aux!$E$33,G80&gt;[1]Aux!$E$34),[1]Aux!$F$34,IF(AND(G80&lt;[1]Aux!$E$34,G80&gt;[1]Aux!$E$35),[1]Aux!$F$35,IF(AND(G80&lt;[1]Aux!$E$35,G80&gt;[1]Aux!$E$36),[1]Aux!$F$36,IF(G80&lt;[1]Aux!$E$36,0,"Verificar")))))))))</f>
        <v>0</v>
      </c>
    </row>
    <row r="81" spans="1:13" x14ac:dyDescent="0.25">
      <c r="A81" s="3" t="s">
        <v>37</v>
      </c>
      <c r="B81" s="4" t="s">
        <v>34</v>
      </c>
      <c r="C81" s="4" t="s">
        <v>18</v>
      </c>
      <c r="D81" s="4">
        <v>0.05</v>
      </c>
      <c r="E81" s="4" t="s">
        <v>35</v>
      </c>
      <c r="F81" s="4"/>
      <c r="G81" s="6">
        <f t="shared" si="15"/>
        <v>0</v>
      </c>
      <c r="H81" s="4">
        <f t="shared" si="9"/>
        <v>0</v>
      </c>
      <c r="I81" s="4"/>
      <c r="J81" s="7" t="s">
        <v>25</v>
      </c>
      <c r="K81" s="8" t="s">
        <v>43</v>
      </c>
      <c r="L81" s="4" t="s">
        <v>35</v>
      </c>
      <c r="M81" s="10">
        <f>IF(G81&gt;=[1]Aux!$E$29,[1]Aux!$F$29,IF(AND(G81&lt;[1]Aux!$E$29,G81&gt;[1]Aux!$E$30),[1]Aux!$F$30,IF(AND(G81&lt;[1]Aux!$E$30,G81&gt;[1]Aux!$E$31),[1]Aux!$F$31,IF(AND(G81&lt;[1]Aux!$E$31,G81&gt;[1]Aux!$E$32),[1]Aux!$F$32,IF(AND(G81&lt;[1]Aux!$E$32,G81&gt;[1]Aux!$E$33),[1]Aux!$F$33,IF(AND(G81&lt;[1]Aux!$E$33,G81&gt;[1]Aux!$E$34),[1]Aux!$F$34,IF(AND(G81&lt;[1]Aux!$E$34,G81&gt;[1]Aux!$E$35),[1]Aux!$F$35,IF(AND(G81&lt;[1]Aux!$E$35,G81&gt;[1]Aux!$E$36),[1]Aux!$F$36,IF(G81&lt;[1]Aux!$E$36,0,"Verificar")))))))))</f>
        <v>0</v>
      </c>
    </row>
    <row r="82" spans="1:13" x14ac:dyDescent="0.25">
      <c r="A82" s="3" t="s">
        <v>37</v>
      </c>
      <c r="B82" s="4" t="s">
        <v>34</v>
      </c>
      <c r="C82" s="4" t="s">
        <v>19</v>
      </c>
      <c r="D82" s="4">
        <v>0.05</v>
      </c>
      <c r="E82" s="4" t="s">
        <v>35</v>
      </c>
      <c r="F82" s="4"/>
      <c r="G82" s="6">
        <f t="shared" si="15"/>
        <v>0</v>
      </c>
      <c r="H82" s="4">
        <f t="shared" si="9"/>
        <v>0</v>
      </c>
      <c r="I82" s="4"/>
      <c r="J82" s="7" t="s">
        <v>25</v>
      </c>
      <c r="K82" s="8" t="s">
        <v>43</v>
      </c>
      <c r="L82" s="4" t="s">
        <v>35</v>
      </c>
      <c r="M82" s="10">
        <f>IF(G82&gt;=[1]Aux!$E$29,[1]Aux!$F$29,IF(AND(G82&lt;[1]Aux!$E$29,G82&gt;[1]Aux!$E$30),[1]Aux!$F$30,IF(AND(G82&lt;[1]Aux!$E$30,G82&gt;[1]Aux!$E$31),[1]Aux!$F$31,IF(AND(G82&lt;[1]Aux!$E$31,G82&gt;[1]Aux!$E$32),[1]Aux!$F$32,IF(AND(G82&lt;[1]Aux!$E$32,G82&gt;[1]Aux!$E$33),[1]Aux!$F$33,IF(AND(G82&lt;[1]Aux!$E$33,G82&gt;[1]Aux!$E$34),[1]Aux!$F$34,IF(AND(G82&lt;[1]Aux!$E$34,G82&gt;[1]Aux!$E$35),[1]Aux!$F$35,IF(AND(G82&lt;[1]Aux!$E$35,G82&gt;[1]Aux!$E$36),[1]Aux!$F$36,IF(G82&lt;[1]Aux!$E$36,0,"Verificar")))))))))</f>
        <v>0</v>
      </c>
    </row>
    <row r="83" spans="1:13" x14ac:dyDescent="0.25">
      <c r="A83" s="3" t="s">
        <v>37</v>
      </c>
      <c r="B83" s="4" t="s">
        <v>34</v>
      </c>
      <c r="C83" s="4" t="s">
        <v>22</v>
      </c>
      <c r="D83" s="4">
        <v>0.05</v>
      </c>
      <c r="E83" s="4" t="s">
        <v>35</v>
      </c>
      <c r="F83" s="4"/>
      <c r="G83" s="6">
        <f t="shared" si="15"/>
        <v>0</v>
      </c>
      <c r="H83" s="4">
        <f t="shared" si="9"/>
        <v>0</v>
      </c>
      <c r="I83" s="4"/>
      <c r="J83" s="7" t="s">
        <v>25</v>
      </c>
      <c r="K83" s="8" t="s">
        <v>43</v>
      </c>
      <c r="L83" s="4" t="s">
        <v>35</v>
      </c>
      <c r="M83" s="10">
        <f>IF(G83&gt;=[1]Aux!$E$29,[1]Aux!$F$29,IF(AND(G83&lt;[1]Aux!$E$29,G83&gt;[1]Aux!$E$30),[1]Aux!$F$30,IF(AND(G83&lt;[1]Aux!$E$30,G83&gt;[1]Aux!$E$31),[1]Aux!$F$31,IF(AND(G83&lt;[1]Aux!$E$31,G83&gt;[1]Aux!$E$32),[1]Aux!$F$32,IF(AND(G83&lt;[1]Aux!$E$32,G83&gt;[1]Aux!$E$33),[1]Aux!$F$33,IF(AND(G83&lt;[1]Aux!$E$33,G83&gt;[1]Aux!$E$34),[1]Aux!$F$34,IF(AND(G83&lt;[1]Aux!$E$34,G83&gt;[1]Aux!$E$35),[1]Aux!$F$35,IF(AND(G83&lt;[1]Aux!$E$35,G83&gt;[1]Aux!$E$36),[1]Aux!$F$36,IF(G83&lt;[1]Aux!$E$36,0,"Verificar")))))))))</f>
        <v>0</v>
      </c>
    </row>
    <row r="84" spans="1:13" x14ac:dyDescent="0.25">
      <c r="A84" s="3" t="s">
        <v>38</v>
      </c>
      <c r="B84" s="4" t="s">
        <v>39</v>
      </c>
      <c r="C84" s="4" t="s">
        <v>15</v>
      </c>
      <c r="D84" s="4">
        <v>0.05</v>
      </c>
      <c r="E84" s="4">
        <v>0.9</v>
      </c>
      <c r="F84" s="4"/>
      <c r="G84" s="6">
        <f t="shared" si="15"/>
        <v>0</v>
      </c>
      <c r="H84" s="4">
        <f t="shared" si="9"/>
        <v>0</v>
      </c>
      <c r="I84" s="4"/>
      <c r="J84" s="7" t="s">
        <v>25</v>
      </c>
      <c r="K84" s="8" t="s">
        <v>43</v>
      </c>
      <c r="L84" s="9" t="s">
        <v>21</v>
      </c>
      <c r="M84" s="10">
        <f>IF(G84&gt;=[1]Aux!$E$29,[1]Aux!$F$29,IF(AND(G84&lt;[1]Aux!$E$29,G84&gt;[1]Aux!$E$30),[1]Aux!$F$30,IF(AND(G84&lt;[1]Aux!$E$30,G84&gt;[1]Aux!$E$31),[1]Aux!$F$31,IF(AND(G84&lt;[1]Aux!$E$31,G84&gt;[1]Aux!$E$32),[1]Aux!$F$32,IF(AND(G84&lt;[1]Aux!$E$32,G84&gt;[1]Aux!$E$33),[1]Aux!$F$33,IF(AND(G84&lt;[1]Aux!$E$33,G84&gt;[1]Aux!$E$34),[1]Aux!$F$34,IF(AND(G84&lt;[1]Aux!$E$34,G84&gt;[1]Aux!$E$35),[1]Aux!$F$35,IF(AND(G84&lt;[1]Aux!$E$35,G84&gt;[1]Aux!$E$36),[1]Aux!$F$36,IF(G84&lt;[1]Aux!$E$36,0,"Verificar")))))))))</f>
        <v>0</v>
      </c>
    </row>
    <row r="85" spans="1:13" x14ac:dyDescent="0.25">
      <c r="A85" s="3" t="s">
        <v>38</v>
      </c>
      <c r="B85" s="4" t="s">
        <v>39</v>
      </c>
      <c r="C85" s="4" t="s">
        <v>18</v>
      </c>
      <c r="D85" s="4">
        <v>0.05</v>
      </c>
      <c r="E85" s="4">
        <v>0.9</v>
      </c>
      <c r="F85" s="4"/>
      <c r="G85" s="6">
        <f t="shared" si="15"/>
        <v>0</v>
      </c>
      <c r="H85" s="4">
        <f t="shared" si="9"/>
        <v>0</v>
      </c>
      <c r="I85" s="4"/>
      <c r="J85" s="7" t="s">
        <v>25</v>
      </c>
      <c r="K85" s="8" t="s">
        <v>43</v>
      </c>
      <c r="L85" s="9" t="s">
        <v>21</v>
      </c>
      <c r="M85" s="10">
        <f>IF(G85&gt;=[1]Aux!$E$29,[1]Aux!$F$29,IF(AND(G85&lt;[1]Aux!$E$29,G85&gt;[1]Aux!$E$30),[1]Aux!$F$30,IF(AND(G85&lt;[1]Aux!$E$30,G85&gt;[1]Aux!$E$31),[1]Aux!$F$31,IF(AND(G85&lt;[1]Aux!$E$31,G85&gt;[1]Aux!$E$32),[1]Aux!$F$32,IF(AND(G85&lt;[1]Aux!$E$32,G85&gt;[1]Aux!$E$33),[1]Aux!$F$33,IF(AND(G85&lt;[1]Aux!$E$33,G85&gt;[1]Aux!$E$34),[1]Aux!$F$34,IF(AND(G85&lt;[1]Aux!$E$34,G85&gt;[1]Aux!$E$35),[1]Aux!$F$35,IF(AND(G85&lt;[1]Aux!$E$35,G85&gt;[1]Aux!$E$36),[1]Aux!$F$36,IF(G85&lt;[1]Aux!$E$36,0,"Verificar")))))))))</f>
        <v>0</v>
      </c>
    </row>
    <row r="86" spans="1:13" x14ac:dyDescent="0.25">
      <c r="A86" s="3" t="s">
        <v>38</v>
      </c>
      <c r="B86" s="4" t="s">
        <v>39</v>
      </c>
      <c r="C86" s="4" t="s">
        <v>19</v>
      </c>
      <c r="D86" s="4">
        <v>0.05</v>
      </c>
      <c r="E86" s="4">
        <v>0.9</v>
      </c>
      <c r="F86" s="4"/>
      <c r="G86" s="6">
        <f t="shared" si="15"/>
        <v>0</v>
      </c>
      <c r="H86" s="4">
        <f t="shared" si="9"/>
        <v>0</v>
      </c>
      <c r="I86" s="4"/>
      <c r="J86" s="7" t="s">
        <v>25</v>
      </c>
      <c r="K86" s="8" t="s">
        <v>43</v>
      </c>
      <c r="L86" s="9" t="s">
        <v>21</v>
      </c>
      <c r="M86" s="10">
        <f>IF(G86&gt;=[1]Aux!$E$29,[1]Aux!$F$29,IF(AND(G86&lt;[1]Aux!$E$29,G86&gt;[1]Aux!$E$30),[1]Aux!$F$30,IF(AND(G86&lt;[1]Aux!$E$30,G86&gt;[1]Aux!$E$31),[1]Aux!$F$31,IF(AND(G86&lt;[1]Aux!$E$31,G86&gt;[1]Aux!$E$32),[1]Aux!$F$32,IF(AND(G86&lt;[1]Aux!$E$32,G86&gt;[1]Aux!$E$33),[1]Aux!$F$33,IF(AND(G86&lt;[1]Aux!$E$33,G86&gt;[1]Aux!$E$34),[1]Aux!$F$34,IF(AND(G86&lt;[1]Aux!$E$34,G86&gt;[1]Aux!$E$35),[1]Aux!$F$35,IF(AND(G86&lt;[1]Aux!$E$35,G86&gt;[1]Aux!$E$36),[1]Aux!$F$36,IF(G86&lt;[1]Aux!$E$36,0,"Verificar")))))))))</f>
        <v>0</v>
      </c>
    </row>
    <row r="87" spans="1:13" x14ac:dyDescent="0.25">
      <c r="A87" s="3" t="s">
        <v>38</v>
      </c>
      <c r="B87" s="4" t="s">
        <v>39</v>
      </c>
      <c r="C87" s="4" t="s">
        <v>22</v>
      </c>
      <c r="D87" s="4">
        <v>0.05</v>
      </c>
      <c r="E87" s="4">
        <v>0.9</v>
      </c>
      <c r="F87" s="4"/>
      <c r="G87" s="6">
        <f t="shared" si="15"/>
        <v>0</v>
      </c>
      <c r="H87" s="4">
        <f t="shared" si="9"/>
        <v>0</v>
      </c>
      <c r="I87" s="4"/>
      <c r="J87" s="7" t="s">
        <v>25</v>
      </c>
      <c r="K87" s="8" t="s">
        <v>43</v>
      </c>
      <c r="L87" s="9" t="s">
        <v>21</v>
      </c>
      <c r="M87" s="10">
        <f>IF(G87&gt;=[1]Aux!$E$29,[1]Aux!$F$29,IF(AND(G87&lt;[1]Aux!$E$29,G87&gt;[1]Aux!$E$30),[1]Aux!$F$30,IF(AND(G87&lt;[1]Aux!$E$30,G87&gt;[1]Aux!$E$31),[1]Aux!$F$31,IF(AND(G87&lt;[1]Aux!$E$31,G87&gt;[1]Aux!$E$32),[1]Aux!$F$32,IF(AND(G87&lt;[1]Aux!$E$32,G87&gt;[1]Aux!$E$33),[1]Aux!$F$33,IF(AND(G87&lt;[1]Aux!$E$33,G87&gt;[1]Aux!$E$34),[1]Aux!$F$34,IF(AND(G87&lt;[1]Aux!$E$34,G87&gt;[1]Aux!$E$35),[1]Aux!$F$35,IF(AND(G87&lt;[1]Aux!$E$35,G87&gt;[1]Aux!$E$36),[1]Aux!$F$36,IF(G87&lt;[1]Aux!$E$36,0,"Verificar")))))))))</f>
        <v>0</v>
      </c>
    </row>
    <row r="88" spans="1:13" x14ac:dyDescent="0.25">
      <c r="A88" s="3" t="s">
        <v>40</v>
      </c>
      <c r="B88" s="4" t="s">
        <v>39</v>
      </c>
      <c r="C88" s="4" t="s">
        <v>15</v>
      </c>
      <c r="D88" s="4">
        <v>0.05</v>
      </c>
      <c r="E88" s="4">
        <v>1</v>
      </c>
      <c r="F88" s="4"/>
      <c r="G88" s="6">
        <f t="shared" si="15"/>
        <v>0</v>
      </c>
      <c r="H88" s="4">
        <f t="shared" si="9"/>
        <v>0</v>
      </c>
      <c r="I88" s="4"/>
      <c r="J88" s="7" t="s">
        <v>25</v>
      </c>
      <c r="K88" s="8" t="s">
        <v>43</v>
      </c>
      <c r="L88" s="9" t="s">
        <v>21</v>
      </c>
      <c r="M88" s="10">
        <f>IF(G88&gt;=[1]Aux!$E$29,[1]Aux!$F$29,IF(AND(G88&lt;[1]Aux!$E$29,G88&gt;[1]Aux!$E$30),[1]Aux!$F$30,IF(AND(G88&lt;[1]Aux!$E$30,G88&gt;[1]Aux!$E$31),[1]Aux!$F$31,IF(AND(G88&lt;[1]Aux!$E$31,G88&gt;[1]Aux!$E$32),[1]Aux!$F$32,IF(AND(G88&lt;[1]Aux!$E$32,G88&gt;[1]Aux!$E$33),[1]Aux!$F$33,IF(AND(G88&lt;[1]Aux!$E$33,G88&gt;[1]Aux!$E$34),[1]Aux!$F$34,IF(AND(G88&lt;[1]Aux!$E$34,G88&gt;[1]Aux!$E$35),[1]Aux!$F$35,IF(AND(G88&lt;[1]Aux!$E$35,G88&gt;[1]Aux!$E$36),[1]Aux!$F$36,IF(G88&lt;[1]Aux!$E$36,0,"Verificar")))))))))</f>
        <v>0</v>
      </c>
    </row>
    <row r="89" spans="1:13" x14ac:dyDescent="0.25">
      <c r="A89" s="3" t="s">
        <v>40</v>
      </c>
      <c r="B89" s="4" t="s">
        <v>39</v>
      </c>
      <c r="C89" s="4" t="s">
        <v>18</v>
      </c>
      <c r="D89" s="4">
        <v>0.05</v>
      </c>
      <c r="E89" s="4">
        <v>1</v>
      </c>
      <c r="F89" s="4"/>
      <c r="G89" s="6">
        <f t="shared" si="15"/>
        <v>0</v>
      </c>
      <c r="H89" s="4">
        <f t="shared" si="9"/>
        <v>0</v>
      </c>
      <c r="I89" s="4"/>
      <c r="J89" s="7" t="s">
        <v>25</v>
      </c>
      <c r="K89" s="8" t="s">
        <v>43</v>
      </c>
      <c r="L89" s="9" t="s">
        <v>21</v>
      </c>
      <c r="M89" s="10">
        <f>IF(G89&gt;=[1]Aux!$E$29,[1]Aux!$F$29,IF(AND(G89&lt;[1]Aux!$E$29,G89&gt;[1]Aux!$E$30),[1]Aux!$F$30,IF(AND(G89&lt;[1]Aux!$E$30,G89&gt;[1]Aux!$E$31),[1]Aux!$F$31,IF(AND(G89&lt;[1]Aux!$E$31,G89&gt;[1]Aux!$E$32),[1]Aux!$F$32,IF(AND(G89&lt;[1]Aux!$E$32,G89&gt;[1]Aux!$E$33),[1]Aux!$F$33,IF(AND(G89&lt;[1]Aux!$E$33,G89&gt;[1]Aux!$E$34),[1]Aux!$F$34,IF(AND(G89&lt;[1]Aux!$E$34,G89&gt;[1]Aux!$E$35),[1]Aux!$F$35,IF(AND(G89&lt;[1]Aux!$E$35,G89&gt;[1]Aux!$E$36),[1]Aux!$F$36,IF(G89&lt;[1]Aux!$E$36,0,"Verificar")))))))))</f>
        <v>0</v>
      </c>
    </row>
    <row r="90" spans="1:13" x14ac:dyDescent="0.25">
      <c r="A90" s="3" t="s">
        <v>40</v>
      </c>
      <c r="B90" s="4" t="s">
        <v>39</v>
      </c>
      <c r="C90" s="4" t="s">
        <v>19</v>
      </c>
      <c r="D90" s="4">
        <v>0.05</v>
      </c>
      <c r="E90" s="4">
        <v>1</v>
      </c>
      <c r="F90" s="4"/>
      <c r="G90" s="6">
        <f t="shared" si="15"/>
        <v>0</v>
      </c>
      <c r="H90" s="4">
        <f t="shared" si="9"/>
        <v>0</v>
      </c>
      <c r="I90" s="4"/>
      <c r="J90" s="7" t="s">
        <v>25</v>
      </c>
      <c r="K90" s="8" t="s">
        <v>43</v>
      </c>
      <c r="L90" s="9" t="s">
        <v>21</v>
      </c>
      <c r="M90" s="10">
        <f>IF(G90&gt;=[1]Aux!$E$29,[1]Aux!$F$29,IF(AND(G90&lt;[1]Aux!$E$29,G90&gt;[1]Aux!$E$30),[1]Aux!$F$30,IF(AND(G90&lt;[1]Aux!$E$30,G90&gt;[1]Aux!$E$31),[1]Aux!$F$31,IF(AND(G90&lt;[1]Aux!$E$31,G90&gt;[1]Aux!$E$32),[1]Aux!$F$32,IF(AND(G90&lt;[1]Aux!$E$32,G90&gt;[1]Aux!$E$33),[1]Aux!$F$33,IF(AND(G90&lt;[1]Aux!$E$33,G90&gt;[1]Aux!$E$34),[1]Aux!$F$34,IF(AND(G90&lt;[1]Aux!$E$34,G90&gt;[1]Aux!$E$35),[1]Aux!$F$35,IF(AND(G90&lt;[1]Aux!$E$35,G90&gt;[1]Aux!$E$36),[1]Aux!$F$36,IF(G90&lt;[1]Aux!$E$36,0,"Verificar")))))))))</f>
        <v>0</v>
      </c>
    </row>
    <row r="91" spans="1:13" x14ac:dyDescent="0.25">
      <c r="A91" s="3" t="s">
        <v>40</v>
      </c>
      <c r="B91" s="4" t="s">
        <v>39</v>
      </c>
      <c r="C91" s="4" t="s">
        <v>22</v>
      </c>
      <c r="D91" s="4">
        <v>0.05</v>
      </c>
      <c r="E91" s="4">
        <v>1</v>
      </c>
      <c r="F91" s="4"/>
      <c r="G91" s="6">
        <f t="shared" si="15"/>
        <v>0</v>
      </c>
      <c r="H91" s="4">
        <f t="shared" si="9"/>
        <v>0</v>
      </c>
      <c r="I91" s="4"/>
      <c r="J91" s="7" t="s">
        <v>25</v>
      </c>
      <c r="K91" s="8" t="s">
        <v>43</v>
      </c>
      <c r="L91" s="9" t="s">
        <v>21</v>
      </c>
      <c r="M91" s="10">
        <f>IF(G91&gt;=[1]Aux!$E$29,[1]Aux!$F$29,IF(AND(G91&lt;[1]Aux!$E$29,G91&gt;[1]Aux!$E$30),[1]Aux!$F$30,IF(AND(G91&lt;[1]Aux!$E$30,G91&gt;[1]Aux!$E$31),[1]Aux!$F$31,IF(AND(G91&lt;[1]Aux!$E$31,G91&gt;[1]Aux!$E$32),[1]Aux!$F$32,IF(AND(G91&lt;[1]Aux!$E$32,G91&gt;[1]Aux!$E$33),[1]Aux!$F$33,IF(AND(G91&lt;[1]Aux!$E$33,G91&gt;[1]Aux!$E$34),[1]Aux!$F$34,IF(AND(G91&lt;[1]Aux!$E$34,G91&gt;[1]Aux!$E$35),[1]Aux!$F$35,IF(AND(G91&lt;[1]Aux!$E$35,G91&gt;[1]Aux!$E$36),[1]Aux!$F$36,IF(G91&lt;[1]Aux!$E$36,0,"Verificar")))))))))</f>
        <v>0</v>
      </c>
    </row>
    <row r="92" spans="1:13" x14ac:dyDescent="0.25">
      <c r="A92" s="15" t="s">
        <v>41</v>
      </c>
      <c r="B92" s="4" t="s">
        <v>39</v>
      </c>
      <c r="C92" s="4" t="s">
        <v>15</v>
      </c>
      <c r="D92" s="4">
        <v>0.1</v>
      </c>
      <c r="E92" s="4" t="s">
        <v>42</v>
      </c>
      <c r="F92" s="4"/>
      <c r="G92" s="6">
        <f t="shared" si="15"/>
        <v>0</v>
      </c>
      <c r="H92" s="4">
        <f t="shared" si="9"/>
        <v>0</v>
      </c>
      <c r="I92" s="4"/>
      <c r="J92" s="7" t="s">
        <v>25</v>
      </c>
      <c r="K92" s="8" t="s">
        <v>43</v>
      </c>
      <c r="L92" s="9" t="s">
        <v>26</v>
      </c>
      <c r="M92" s="10">
        <f>IF(G92&gt;=[1]Aux!$E$29,[1]Aux!$F$29,IF(AND(G92&lt;[1]Aux!$E$29,G92&gt;[1]Aux!$E$30),[1]Aux!$F$30,IF(AND(G92&lt;[1]Aux!$E$30,G92&gt;[1]Aux!$E$31),[1]Aux!$F$31,IF(AND(G92&lt;[1]Aux!$E$31,G92&gt;[1]Aux!$E$32),[1]Aux!$F$32,IF(AND(G92&lt;[1]Aux!$E$32,G92&gt;[1]Aux!$E$33),[1]Aux!$F$33,IF(AND(G92&lt;[1]Aux!$E$33,G92&gt;[1]Aux!$E$34),[1]Aux!$F$34,IF(AND(G92&lt;[1]Aux!$E$34,G92&gt;[1]Aux!$E$35),[1]Aux!$F$35,IF(AND(G92&lt;[1]Aux!$E$35,G92&gt;[1]Aux!$E$36),[1]Aux!$F$36,IF(G92&lt;[1]Aux!$E$36,0,"Verificar")))))))))</f>
        <v>0</v>
      </c>
    </row>
    <row r="93" spans="1:13" x14ac:dyDescent="0.25">
      <c r="A93" s="15" t="s">
        <v>41</v>
      </c>
      <c r="B93" s="4" t="s">
        <v>39</v>
      </c>
      <c r="C93" s="4" t="s">
        <v>18</v>
      </c>
      <c r="D93" s="4">
        <v>0.1</v>
      </c>
      <c r="E93" s="4" t="s">
        <v>42</v>
      </c>
      <c r="F93" s="4"/>
      <c r="G93" s="6">
        <f t="shared" si="15"/>
        <v>0</v>
      </c>
      <c r="H93" s="4">
        <f t="shared" si="9"/>
        <v>0</v>
      </c>
      <c r="I93" s="4"/>
      <c r="J93" s="7" t="s">
        <v>25</v>
      </c>
      <c r="K93" s="8" t="s">
        <v>43</v>
      </c>
      <c r="L93" s="9" t="s">
        <v>26</v>
      </c>
      <c r="M93" s="10">
        <f>IF(G93&gt;=[1]Aux!$E$29,[1]Aux!$F$29,IF(AND(G93&lt;[1]Aux!$E$29,G93&gt;[1]Aux!$E$30),[1]Aux!$F$30,IF(AND(G93&lt;[1]Aux!$E$30,G93&gt;[1]Aux!$E$31),[1]Aux!$F$31,IF(AND(G93&lt;[1]Aux!$E$31,G93&gt;[1]Aux!$E$32),[1]Aux!$F$32,IF(AND(G93&lt;[1]Aux!$E$32,G93&gt;[1]Aux!$E$33),[1]Aux!$F$33,IF(AND(G93&lt;[1]Aux!$E$33,G93&gt;[1]Aux!$E$34),[1]Aux!$F$34,IF(AND(G93&lt;[1]Aux!$E$34,G93&gt;[1]Aux!$E$35),[1]Aux!$F$35,IF(AND(G93&lt;[1]Aux!$E$35,G93&gt;[1]Aux!$E$36),[1]Aux!$F$36,IF(G93&lt;[1]Aux!$E$36,0,"Verificar")))))))))</f>
        <v>0</v>
      </c>
    </row>
    <row r="94" spans="1:13" x14ac:dyDescent="0.25">
      <c r="A94" s="15" t="s">
        <v>41</v>
      </c>
      <c r="B94" s="16" t="s">
        <v>39</v>
      </c>
      <c r="C94" s="16" t="s">
        <v>19</v>
      </c>
      <c r="D94" s="16">
        <v>0.1</v>
      </c>
      <c r="E94" s="4" t="s">
        <v>42</v>
      </c>
      <c r="F94" s="16"/>
      <c r="G94" s="6">
        <f t="shared" si="15"/>
        <v>0</v>
      </c>
      <c r="H94" s="4">
        <f t="shared" si="9"/>
        <v>0</v>
      </c>
      <c r="I94" s="4"/>
      <c r="J94" s="7" t="s">
        <v>25</v>
      </c>
      <c r="K94" s="8" t="s">
        <v>43</v>
      </c>
      <c r="L94" s="9" t="s">
        <v>26</v>
      </c>
      <c r="M94" s="10">
        <f>IF(G94&gt;=[1]Aux!$E$29,[1]Aux!$F$29,IF(AND(G94&lt;[1]Aux!$E$29,G94&gt;[1]Aux!$E$30),[1]Aux!$F$30,IF(AND(G94&lt;[1]Aux!$E$30,G94&gt;[1]Aux!$E$31),[1]Aux!$F$31,IF(AND(G94&lt;[1]Aux!$E$31,G94&gt;[1]Aux!$E$32),[1]Aux!$F$32,IF(AND(G94&lt;[1]Aux!$E$32,G94&gt;[1]Aux!$E$33),[1]Aux!$F$33,IF(AND(G94&lt;[1]Aux!$E$33,G94&gt;[1]Aux!$E$34),[1]Aux!$F$34,IF(AND(G94&lt;[1]Aux!$E$34,G94&gt;[1]Aux!$E$35),[1]Aux!$F$35,IF(AND(G94&lt;[1]Aux!$E$35,G94&gt;[1]Aux!$E$36),[1]Aux!$F$36,IF(G94&lt;[1]Aux!$E$36,0,"Verificar")))))))))</f>
        <v>0</v>
      </c>
    </row>
    <row r="95" spans="1:13" x14ac:dyDescent="0.25">
      <c r="A95" s="15" t="s">
        <v>41</v>
      </c>
      <c r="B95" s="9" t="s">
        <v>39</v>
      </c>
      <c r="C95" s="9" t="s">
        <v>22</v>
      </c>
      <c r="D95" s="9">
        <v>0.1</v>
      </c>
      <c r="E95" s="4" t="s">
        <v>42</v>
      </c>
      <c r="F95" s="9"/>
      <c r="G95" s="6">
        <f t="shared" si="15"/>
        <v>0</v>
      </c>
      <c r="H95" s="4">
        <f t="shared" si="9"/>
        <v>0</v>
      </c>
      <c r="I95" s="4"/>
      <c r="J95" s="7" t="s">
        <v>25</v>
      </c>
      <c r="K95" s="8" t="s">
        <v>43</v>
      </c>
      <c r="L95" s="9" t="s">
        <v>26</v>
      </c>
      <c r="M95" s="10">
        <f>IF(G95&gt;=[1]Aux!$E$29,[1]Aux!$F$29,IF(AND(G95&lt;[1]Aux!$E$29,G95&gt;[1]Aux!$E$30),[1]Aux!$F$30,IF(AND(G95&lt;[1]Aux!$E$30,G95&gt;[1]Aux!$E$31),[1]Aux!$F$31,IF(AND(G95&lt;[1]Aux!$E$31,G95&gt;[1]Aux!$E$32),[1]Aux!$F$32,IF(AND(G95&lt;[1]Aux!$E$32,G95&gt;[1]Aux!$E$33),[1]Aux!$F$33,IF(AND(G95&lt;[1]Aux!$E$33,G95&gt;[1]Aux!$E$34),[1]Aux!$F$34,IF(AND(G95&lt;[1]Aux!$E$34,G95&gt;[1]Aux!$E$35),[1]Aux!$F$35,IF(AND(G95&lt;[1]Aux!$E$35,G95&gt;[1]Aux!$E$36),[1]Aux!$F$36,IF(G95&lt;[1]Aux!$E$36,0,"Verificar")))))))))</f>
        <v>0</v>
      </c>
    </row>
    <row r="96" spans="1:13" x14ac:dyDescent="0.25">
      <c r="K96" s="8"/>
    </row>
  </sheetData>
  <autoFilter ref="A1:M95" xr:uid="{C26CFE1F-D3F8-4108-AD81-68C8C964EDD1}"/>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Planilha2</vt:lpstr>
      <vt:lpstr>Planilha1</vt:lpstr>
      <vt:lpstr>Base</vt:lpstr>
    </vt:vector>
  </TitlesOfParts>
  <Company>Caixa Economica Federal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Escramozino Assis</dc:creator>
  <cp:lastModifiedBy>Jonata Jesus</cp:lastModifiedBy>
  <dcterms:created xsi:type="dcterms:W3CDTF">2026-06-16T20:21:47Z</dcterms:created>
  <dcterms:modified xsi:type="dcterms:W3CDTF">2026-09-10T12:25:12Z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e7aacd-7cc4-4c31-9e6f-7ef306428f09_Enabled">
    <vt:lpwstr>true</vt:lpwstr>
  </property>
  <property fmtid="{D5CDD505-2E9C-101B-9397-08002B2CF9AE}" pid="3" name="MSIP_Label_fde7aacd-7cc4-4c31-9e6f-7ef306428f09_SetDate">
    <vt:lpwstr>2026-06-19T17:23:19Z</vt:lpwstr>
  </property>
  <property fmtid="{D5CDD505-2E9C-101B-9397-08002B2CF9AE}" pid="4" name="MSIP_Label_fde7aacd-7cc4-4c31-9e6f-7ef306428f09_Method">
    <vt:lpwstr>Privileged</vt:lpwstr>
  </property>
  <property fmtid="{D5CDD505-2E9C-101B-9397-08002B2CF9AE}" pid="5" name="MSIP_Label_fde7aacd-7cc4-4c31-9e6f-7ef306428f09_Name">
    <vt:lpwstr>_PUBLICO</vt:lpwstr>
  </property>
  <property fmtid="{D5CDD505-2E9C-101B-9397-08002B2CF9AE}" pid="6" name="MSIP_Label_fde7aacd-7cc4-4c31-9e6f-7ef306428f09_SiteId">
    <vt:lpwstr>ab9bba98-684a-43fb-add8-9c2bebede229</vt:lpwstr>
  </property>
  <property fmtid="{D5CDD505-2E9C-101B-9397-08002B2CF9AE}" pid="7" name="MSIP_Label_fde7aacd-7cc4-4c31-9e6f-7ef306428f09_ActionId">
    <vt:lpwstr>d3a854f9-7564-4890-a7ad-e50e92b80d1a</vt:lpwstr>
  </property>
  <property fmtid="{D5CDD505-2E9C-101B-9397-08002B2CF9AE}" pid="8" name="MSIP_Label_fde7aacd-7cc4-4c31-9e6f-7ef306428f09_ContentBits">
    <vt:lpwstr>1</vt:lpwstr>
  </property>
  <property fmtid="{D5CDD505-2E9C-101B-9397-08002B2CF9AE}" pid="9" name="MSIP_Label_fde7aacd-7cc4-4c31-9e6f-7ef306428f09_Tag">
    <vt:lpwstr>10, 0, 1, 1</vt:lpwstr>
  </property>
</Properties>
</file>